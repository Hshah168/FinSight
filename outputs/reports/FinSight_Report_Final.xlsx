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tal\FinSight\outputs\reports\"/>
    </mc:Choice>
  </mc:AlternateContent>
  <xr:revisionPtr revIDLastSave="0" documentId="13_ncr:1_{DE8CD1F7-7D7F-4889-A298-CC4C9F0EC4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&amp;L Statement" sheetId="1" r:id="rId1"/>
    <sheet name="Variance Analysis" sheetId="2" r:id="rId2"/>
    <sheet name="Key Metrics" sheetId="3" r:id="rId3"/>
  </sheets>
  <definedNames>
    <definedName name="_xlnm._FilterDatabase" localSheetId="2" hidden="1">'Key Metrics'!$A$1:$Y$1</definedName>
    <definedName name="_xlnm._FilterDatabase" localSheetId="0" hidden="1">'P&amp;L Statement'!$A$1:$AE$1</definedName>
    <definedName name="_xlnm._FilterDatabase" localSheetId="1" hidden="1">'Variance Analysis'!$A$1:$I$1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26" i="1"/>
  <c r="AB26" i="1"/>
  <c r="AC25" i="1"/>
  <c r="AB25" i="1"/>
  <c r="AC24" i="1"/>
  <c r="AB24" i="1"/>
  <c r="AC23" i="1"/>
  <c r="AB23" i="1"/>
  <c r="AC22" i="1"/>
  <c r="AB22" i="1"/>
  <c r="AC21" i="1"/>
  <c r="AB21" i="1"/>
  <c r="AC20" i="1"/>
  <c r="AB20" i="1"/>
  <c r="AC19" i="1"/>
  <c r="AB19" i="1"/>
  <c r="AC18" i="1"/>
  <c r="AB18" i="1"/>
  <c r="AC17" i="1"/>
  <c r="AB17" i="1"/>
  <c r="AC16" i="1"/>
  <c r="AB16" i="1"/>
  <c r="AC15" i="1"/>
  <c r="AB15" i="1"/>
  <c r="AC14" i="1"/>
  <c r="AB14" i="1"/>
  <c r="AC13" i="1"/>
  <c r="AB13" i="1"/>
  <c r="AC12" i="1"/>
  <c r="AB12" i="1"/>
  <c r="AC11" i="1"/>
  <c r="AB11" i="1"/>
  <c r="AC10" i="1"/>
  <c r="AB10" i="1"/>
  <c r="AC9" i="1"/>
  <c r="AB9" i="1"/>
  <c r="AC8" i="1"/>
  <c r="AB8" i="1"/>
  <c r="AC7" i="1"/>
  <c r="AB7" i="1"/>
  <c r="AC6" i="1"/>
  <c r="AB6" i="1"/>
  <c r="AC5" i="1"/>
  <c r="AB5" i="1"/>
  <c r="AC4" i="1"/>
  <c r="AB4" i="1"/>
  <c r="AC3" i="1"/>
  <c r="AB3" i="1"/>
  <c r="AC2" i="1"/>
  <c r="AB2" i="1"/>
</calcChain>
</file>

<file path=xl/sharedStrings.xml><?xml version="1.0" encoding="utf-8"?>
<sst xmlns="http://schemas.openxmlformats.org/spreadsheetml/2006/main" count="3147" uniqueCount="79">
  <si>
    <t>account_type</t>
  </si>
  <si>
    <t>account_category</t>
  </si>
  <si>
    <t>account_name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</si>
  <si>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</si>
  <si>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</si>
  <si>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</si>
  <si>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</si>
  <si>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</si>
  <si>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</si>
  <si>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</si>
  <si>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</si>
  <si>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</si>
  <si>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</si>
  <si>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</si>
  <si>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</si>
  <si>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</si>
  <si>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</si>
  <si>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</si>
  <si>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</si>
  <si>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</si>
  <si>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</si>
  <si>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</si>
  <si>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</si>
  <si>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</si>
  <si>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</si>
  <si>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</si>
  <si>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</si>
  <si>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COGS</t>
  </si>
  <si>
    <t>Cost of Products Sold</t>
  </si>
  <si>
    <t>Direct Labor</t>
  </si>
  <si>
    <t>Manufacturing Overhead</t>
  </si>
  <si>
    <t>OpEx</t>
  </si>
  <si>
    <t>G&amp;A</t>
  </si>
  <si>
    <t>Depreciation</t>
  </si>
  <si>
    <t>Insurance</t>
  </si>
  <si>
    <t>Office Rent</t>
  </si>
  <si>
    <t>Office Supplies</t>
  </si>
  <si>
    <t>Professional Fees</t>
  </si>
  <si>
    <t>Salaries - Admin</t>
  </si>
  <si>
    <t>Training &amp; Development</t>
  </si>
  <si>
    <t>Travel &amp; Entertainment</t>
  </si>
  <si>
    <t>Utilities</t>
  </si>
  <si>
    <t>R&amp;D</t>
  </si>
  <si>
    <t>R&amp;D Materials</t>
  </si>
  <si>
    <t>R&amp;D Salaries</t>
  </si>
  <si>
    <t>Sales &amp; Marketing</t>
  </si>
  <si>
    <t>Advertising</t>
  </si>
  <si>
    <t>Commissions</t>
  </si>
  <si>
    <t>Marketing Expenses</t>
  </si>
  <si>
    <t>Salaries - Sales</t>
  </si>
  <si>
    <t>Technology</t>
  </si>
  <si>
    <t>Cloud Services</t>
  </si>
  <si>
    <t>IT Salaries</t>
  </si>
  <si>
    <t>IT Software &amp; Licenses</t>
  </si>
  <si>
    <t>Revenue</t>
  </si>
  <si>
    <t>Other Revenue</t>
  </si>
  <si>
    <t>Product Sales Revenue</t>
  </si>
  <si>
    <t>Service Revenue</t>
  </si>
  <si>
    <t>Subscription Revenue</t>
  </si>
  <si>
    <t>period</t>
  </si>
  <si>
    <t>actual_amount</t>
  </si>
  <si>
    <t>budget_amount</t>
  </si>
  <si>
    <t>_merge</t>
  </si>
  <si>
    <t>variance_dollar</t>
  </si>
  <si>
    <t>variance_percent</t>
  </si>
  <si>
    <t>variance_type</t>
  </si>
  <si>
    <t>both</t>
  </si>
  <si>
    <t>Unfavorable</t>
  </si>
  <si>
    <t>Favorable</t>
  </si>
  <si>
    <t>Metric</t>
  </si>
  <si>
    <t>Gross Profit</t>
  </si>
  <si>
    <t>Gross Margin %</t>
  </si>
  <si>
    <t>Operating Expenses</t>
  </si>
  <si>
    <t>Operating Income (EBITDA)</t>
  </si>
  <si>
    <t>Operating Margin %</t>
  </si>
  <si>
    <t xml:space="preserve">2023 TOTAL </t>
  </si>
  <si>
    <t>2024 TOTAL</t>
  </si>
  <si>
    <t>YOY</t>
  </si>
  <si>
    <t>YOY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</si>
</sst>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/>
    <xf numFmtId="43" fontId="1" fillId="2" borderId="1" xfId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64" fontId="1" fillId="2" borderId="1" xfId="1" applyNumberFormat="1" applyFont="1" applyFill="1" applyBorder="1" applyAlignment="1">
      <alignment horizontal="center" vertical="top"/>
    </xf>
    <xf numFmtId="164" fontId="0" fillId="0" borderId="0" xfId="1" applyNumberFormat="1" applyFont="1"/>
    <xf numFmtId="43" fontId="3" fillId="0" borderId="0" xfId="1" applyFont="1"/>
    <xf numFmtId="0" fontId="3" fillId="0" borderId="0" xfId="0" applyFont="1"/>
    <xf numFmtId="9" fontId="0" fillId="0" borderId="0" xfId="2" applyFont="1"/>
    <xf numFmtId="9" fontId="0" fillId="0" borderId="0" xfId="1" applyNumberFormat="1" applyFont="1"/>
    <xf numFmtId="43" fontId="0" fillId="0" borderId="0" xfId="1" applyFont="1" applyFill="1"/>
    <xf numFmtId="43" fontId="1" fillId="2" borderId="1" xfId="1" applyFont="1" applyFill="1" applyBorder="1" applyAlignment="1">
      <alignment horizontal="left" vertical="top"/>
    </xf>
    <xf numFmtId="164" fontId="1" fillId="2" borderId="1" xfId="1" applyNumberFormat="1" applyFont="1" applyFill="1" applyBorder="1" applyAlignment="1">
      <alignment horizontal="left" vertical="top"/>
    </xf>
    <xf numFmtId="164" fontId="3" fillId="2" borderId="0" xfId="1" applyNumberFormat="1" applyFont="1" applyFill="1" applyAlignment="1">
      <alignment horizontal="left"/>
    </xf>
    <xf numFmtId="43" fontId="3" fillId="2" borderId="0" xfId="1" applyFont="1" applyFill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"/>
  <sheetViews>
    <sheetView tabSelected="1" workbookViewId="0">
      <selection activeCell="B15" sqref="B15"/>
    </sheetView>
  </sheetViews>
  <sheetFormatPr defaultRowHeight="14.25" x14ac:dyDescent="0.45"/>
  <cols>
    <col min="1" max="1" width="11.73046875" style="1" bestFit="1" customWidth="1"/>
    <col min="2" max="2" width="20.73046875" style="1" bestFit="1" customWidth="1"/>
    <col min="3" max="3" width="22.53125" style="1" bestFit="1" customWidth="1"/>
    <col min="4" max="26" width="10.86328125" style="5" bestFit="1" customWidth="1"/>
    <col min="27" max="29" width="12.33203125" style="5" bestFit="1" customWidth="1"/>
    <col min="30" max="30" width="9.86328125" style="5" bestFit="1" customWidth="1"/>
    <col min="31" max="31" width="6.9296875" style="1" bestFit="1" customWidth="1"/>
    <col min="32" max="16384" width="9.06640625" style="1"/>
  </cols>
  <sheetData>
    <row r="1" spans="1:33" s="10" customFormat="1" x14ac:dyDescent="0.45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3" t="s">
        <v>75</v>
      </c>
      <c r="AC1" s="13" t="s">
        <v>76</v>
      </c>
      <c r="AD1" s="13" t="s">
        <v>77</v>
      </c>
      <c r="AE1" s="14" t="s">
        <v>78</v>
      </c>
    </row>
    <row r="2" spans="1:33" x14ac:dyDescent="0.45">
      <c r="A2" s="6" t="s">
        <v>27</v>
      </c>
      <c r="B2" s="6" t="s">
        <v>27</v>
      </c>
      <c r="C2" s="6" t="s">
        <v>28</v>
      </c>
      <c r="D2" s="5">
        <v>234091.97</v>
      </c>
      <c r="E2" s="5">
        <v>259795.37</v>
      </c>
      <c r="F2" s="5">
        <v>262386.02</v>
      </c>
      <c r="G2" s="5">
        <v>274577.86</v>
      </c>
      <c r="H2" s="5">
        <v>271929.81</v>
      </c>
      <c r="I2" s="5">
        <v>278811.93</v>
      </c>
      <c r="J2" s="5">
        <v>301351.96000000002</v>
      </c>
      <c r="K2" s="5">
        <v>290547.21000000002</v>
      </c>
      <c r="L2" s="5">
        <v>285949.76</v>
      </c>
      <c r="M2" s="5">
        <v>326249.90999999997</v>
      </c>
      <c r="N2" s="5">
        <v>360988.83</v>
      </c>
      <c r="O2" s="5">
        <v>392385.72</v>
      </c>
      <c r="P2" s="5">
        <v>299328.06</v>
      </c>
      <c r="Q2" s="5">
        <v>282574.14</v>
      </c>
      <c r="R2" s="5">
        <v>333011.86</v>
      </c>
      <c r="S2" s="5">
        <v>329925.13</v>
      </c>
      <c r="T2" s="5">
        <v>326984.69</v>
      </c>
      <c r="U2" s="5">
        <v>382004.21</v>
      </c>
      <c r="V2" s="5">
        <v>365360.37</v>
      </c>
      <c r="W2" s="5">
        <v>379409.2</v>
      </c>
      <c r="X2" s="5">
        <v>368337.58</v>
      </c>
      <c r="Y2" s="5">
        <v>378310.22</v>
      </c>
      <c r="Z2" s="5">
        <v>431528.89</v>
      </c>
      <c r="AA2" s="5">
        <v>453879.71</v>
      </c>
      <c r="AB2" s="5">
        <f>SUM(D2:O2)</f>
        <v>3539066.3499999996</v>
      </c>
      <c r="AC2" s="5">
        <f>SUM(P2:AA2)</f>
        <v>4330654.0600000005</v>
      </c>
      <c r="AD2" s="5">
        <f>AC2-AB2</f>
        <v>791587.71000000089</v>
      </c>
      <c r="AE2" s="8">
        <f>AD2/AB2</f>
        <v>0.22367133919373988</v>
      </c>
      <c r="AF2" s="8"/>
      <c r="AG2" s="9"/>
    </row>
    <row r="3" spans="1:33" x14ac:dyDescent="0.45">
      <c r="A3" s="6" t="s">
        <v>27</v>
      </c>
      <c r="B3" s="6" t="s">
        <v>27</v>
      </c>
      <c r="C3" s="6" t="s">
        <v>29</v>
      </c>
      <c r="D3" s="5">
        <v>117045.99</v>
      </c>
      <c r="E3" s="5">
        <v>129897.69</v>
      </c>
      <c r="F3" s="5">
        <v>131193.01</v>
      </c>
      <c r="G3" s="5">
        <v>137288.93</v>
      </c>
      <c r="H3" s="5">
        <v>135964.9</v>
      </c>
      <c r="I3" s="5">
        <v>139405.97</v>
      </c>
      <c r="J3" s="5">
        <v>150675.98000000001</v>
      </c>
      <c r="K3" s="5">
        <v>145273.60999999999</v>
      </c>
      <c r="L3" s="5">
        <v>142974.88</v>
      </c>
      <c r="M3" s="5">
        <v>163124.95000000001</v>
      </c>
      <c r="N3" s="5">
        <v>180494.42</v>
      </c>
      <c r="O3" s="5">
        <v>196192.86</v>
      </c>
      <c r="P3" s="5">
        <v>149664.03</v>
      </c>
      <c r="Q3" s="5">
        <v>141287.07</v>
      </c>
      <c r="R3" s="5">
        <v>166505.93</v>
      </c>
      <c r="S3" s="5">
        <v>164962.56</v>
      </c>
      <c r="T3" s="5">
        <v>163492.35</v>
      </c>
      <c r="U3" s="5">
        <v>191002.1</v>
      </c>
      <c r="V3" s="5">
        <v>182680.19</v>
      </c>
      <c r="W3" s="5">
        <v>189704.6</v>
      </c>
      <c r="X3" s="5">
        <v>184168.79</v>
      </c>
      <c r="Y3" s="5">
        <v>189155.11</v>
      </c>
      <c r="Z3" s="5">
        <v>215764.44</v>
      </c>
      <c r="AA3" s="5">
        <v>226939.85</v>
      </c>
      <c r="AB3" s="5">
        <f t="shared" ref="AB3:AB26" si="0">SUM(D3:O3)</f>
        <v>1769533.19</v>
      </c>
      <c r="AC3" s="5">
        <f t="shared" ref="AC3:AC26" si="1">SUM(P3:AA3)</f>
        <v>2165327.02</v>
      </c>
      <c r="AD3" s="5">
        <f t="shared" ref="AD3:AD26" si="2">AC3-AB3</f>
        <v>395793.83000000007</v>
      </c>
      <c r="AE3" s="8">
        <f t="shared" ref="AE3:AE26" si="3">AD3/AB3</f>
        <v>0.22367132316969995</v>
      </c>
      <c r="AF3" s="8"/>
      <c r="AG3" s="9"/>
    </row>
    <row r="4" spans="1:33" x14ac:dyDescent="0.45">
      <c r="A4" s="6" t="s">
        <v>27</v>
      </c>
      <c r="B4" s="6" t="s">
        <v>27</v>
      </c>
      <c r="C4" s="6" t="s">
        <v>30</v>
      </c>
      <c r="D4" s="5">
        <v>39015.33</v>
      </c>
      <c r="E4" s="5">
        <v>43299.23</v>
      </c>
      <c r="F4" s="5">
        <v>43731</v>
      </c>
      <c r="G4" s="5">
        <v>45762.98</v>
      </c>
      <c r="H4" s="5">
        <v>45321.63</v>
      </c>
      <c r="I4" s="5">
        <v>46468.66</v>
      </c>
      <c r="J4" s="5">
        <v>50225.33</v>
      </c>
      <c r="K4" s="5">
        <v>48424.54</v>
      </c>
      <c r="L4" s="5">
        <v>47658.29</v>
      </c>
      <c r="M4" s="5">
        <v>54374.98</v>
      </c>
      <c r="N4" s="5">
        <v>60164.81</v>
      </c>
      <c r="O4" s="5">
        <v>65397.62</v>
      </c>
      <c r="P4" s="5">
        <v>49888.01</v>
      </c>
      <c r="Q4" s="5">
        <v>47095.69</v>
      </c>
      <c r="R4" s="5">
        <v>55501.98</v>
      </c>
      <c r="S4" s="5">
        <v>54987.519999999997</v>
      </c>
      <c r="T4" s="5">
        <v>54497.45</v>
      </c>
      <c r="U4" s="5">
        <v>63667.37</v>
      </c>
      <c r="V4" s="5">
        <v>60893.4</v>
      </c>
      <c r="W4" s="5">
        <v>63234.87</v>
      </c>
      <c r="X4" s="5">
        <v>61389.599999999999</v>
      </c>
      <c r="Y4" s="5">
        <v>63051.7</v>
      </c>
      <c r="Z4" s="5">
        <v>71921.48</v>
      </c>
      <c r="AA4" s="5">
        <v>75646.62</v>
      </c>
      <c r="AB4" s="5">
        <f t="shared" si="0"/>
        <v>589844.4</v>
      </c>
      <c r="AC4" s="5">
        <f t="shared" si="1"/>
        <v>721775.69</v>
      </c>
      <c r="AD4" s="5">
        <f t="shared" si="2"/>
        <v>131931.28999999992</v>
      </c>
      <c r="AE4" s="8">
        <f t="shared" si="3"/>
        <v>0.22367134451051823</v>
      </c>
      <c r="AF4" s="8"/>
      <c r="AG4" s="9"/>
    </row>
    <row r="5" spans="1:33" x14ac:dyDescent="0.45">
      <c r="A5" s="6" t="s">
        <v>31</v>
      </c>
      <c r="B5" s="6" t="s">
        <v>32</v>
      </c>
      <c r="C5" s="6" t="s">
        <v>33</v>
      </c>
      <c r="D5" s="5">
        <v>21925.599999999999</v>
      </c>
      <c r="E5" s="5">
        <v>22287.29</v>
      </c>
      <c r="F5" s="5">
        <v>22101.72</v>
      </c>
      <c r="G5" s="5">
        <v>22389.439999999999</v>
      </c>
      <c r="H5" s="5">
        <v>22572.31</v>
      </c>
      <c r="I5" s="5">
        <v>22490.29</v>
      </c>
      <c r="J5" s="5">
        <v>22671.06</v>
      </c>
      <c r="K5" s="5">
        <v>22747.200000000001</v>
      </c>
      <c r="L5" s="5">
        <v>22981.07</v>
      </c>
      <c r="M5" s="5">
        <v>22922.18</v>
      </c>
      <c r="N5" s="5">
        <v>23302.52</v>
      </c>
      <c r="O5" s="5">
        <v>23204.07</v>
      </c>
      <c r="P5" s="5">
        <v>23232.57</v>
      </c>
      <c r="Q5" s="5">
        <v>23224.3</v>
      </c>
      <c r="R5" s="5">
        <v>23342.01</v>
      </c>
      <c r="S5" s="5">
        <v>23687.439999999999</v>
      </c>
      <c r="T5" s="5">
        <v>23582.34</v>
      </c>
      <c r="U5" s="5">
        <v>23778.41</v>
      </c>
      <c r="V5" s="5">
        <v>23877.1</v>
      </c>
      <c r="W5" s="5">
        <v>24212.89</v>
      </c>
      <c r="X5" s="5">
        <v>24277.24</v>
      </c>
      <c r="Y5" s="5">
        <v>24199.439999999999</v>
      </c>
      <c r="Z5" s="5">
        <v>24565.38</v>
      </c>
      <c r="AA5" s="5">
        <v>24587.119999999999</v>
      </c>
      <c r="AB5" s="5">
        <f t="shared" si="0"/>
        <v>271594.75</v>
      </c>
      <c r="AC5" s="5">
        <f t="shared" si="1"/>
        <v>286566.24</v>
      </c>
      <c r="AD5" s="5">
        <f t="shared" si="2"/>
        <v>14971.489999999991</v>
      </c>
      <c r="AE5" s="8">
        <f t="shared" si="3"/>
        <v>5.5124371881267918E-2</v>
      </c>
      <c r="AF5" s="8"/>
      <c r="AG5" s="9"/>
    </row>
    <row r="6" spans="1:33" x14ac:dyDescent="0.45">
      <c r="A6" s="6" t="s">
        <v>31</v>
      </c>
      <c r="B6" s="6" t="s">
        <v>32</v>
      </c>
      <c r="C6" s="6" t="s">
        <v>34</v>
      </c>
      <c r="D6" s="5">
        <v>11894.85</v>
      </c>
      <c r="E6" s="5">
        <v>11835.92</v>
      </c>
      <c r="F6" s="5">
        <v>12127.11</v>
      </c>
      <c r="G6" s="5">
        <v>12021.35</v>
      </c>
      <c r="H6" s="5">
        <v>12314.4</v>
      </c>
      <c r="I6" s="5">
        <v>12200.85</v>
      </c>
      <c r="J6" s="5">
        <v>12383.09</v>
      </c>
      <c r="K6" s="5">
        <v>12650.05</v>
      </c>
      <c r="L6" s="5">
        <v>12465.15</v>
      </c>
      <c r="M6" s="5">
        <v>12673.74</v>
      </c>
      <c r="N6" s="5">
        <v>12709.35</v>
      </c>
      <c r="O6" s="5">
        <v>12436.51</v>
      </c>
      <c r="P6" s="5">
        <v>12959.04</v>
      </c>
      <c r="Q6" s="5">
        <v>12719.42</v>
      </c>
      <c r="R6" s="5">
        <v>13096.74</v>
      </c>
      <c r="S6" s="5">
        <v>13070.15</v>
      </c>
      <c r="T6" s="5">
        <v>12936.54</v>
      </c>
      <c r="U6" s="5">
        <v>12942.07</v>
      </c>
      <c r="V6" s="5">
        <v>12905.33</v>
      </c>
      <c r="W6" s="5">
        <v>13023.64</v>
      </c>
      <c r="X6" s="5">
        <v>13321.97</v>
      </c>
      <c r="Y6" s="5">
        <v>13234.94</v>
      </c>
      <c r="Z6" s="5">
        <v>13416.84</v>
      </c>
      <c r="AA6" s="5">
        <v>13335.52</v>
      </c>
      <c r="AB6" s="5">
        <f t="shared" si="0"/>
        <v>147712.37000000002</v>
      </c>
      <c r="AC6" s="5">
        <f t="shared" si="1"/>
        <v>156962.19999999998</v>
      </c>
      <c r="AD6" s="5">
        <f t="shared" si="2"/>
        <v>9249.8299999999581</v>
      </c>
      <c r="AE6" s="8">
        <f t="shared" si="3"/>
        <v>6.2620551007339167E-2</v>
      </c>
      <c r="AF6" s="8"/>
      <c r="AG6" s="9"/>
    </row>
    <row r="7" spans="1:33" x14ac:dyDescent="0.45">
      <c r="A7" s="6" t="s">
        <v>31</v>
      </c>
      <c r="B7" s="6" t="s">
        <v>32</v>
      </c>
      <c r="C7" s="6" t="s">
        <v>35</v>
      </c>
      <c r="D7" s="5">
        <v>44590.7</v>
      </c>
      <c r="E7" s="5">
        <v>45477.63</v>
      </c>
      <c r="F7" s="5">
        <v>45367.44</v>
      </c>
      <c r="G7" s="5">
        <v>81492.86</v>
      </c>
      <c r="H7" s="5">
        <v>45449.440000000002</v>
      </c>
      <c r="I7" s="5">
        <v>90376.28</v>
      </c>
      <c r="J7" s="5">
        <v>46719.09</v>
      </c>
      <c r="K7" s="5">
        <v>46269.87</v>
      </c>
      <c r="L7" s="5">
        <v>84186.6</v>
      </c>
      <c r="M7" s="5">
        <v>47307.59</v>
      </c>
      <c r="N7" s="5">
        <v>46917.9</v>
      </c>
      <c r="O7" s="5">
        <v>47301.41</v>
      </c>
      <c r="P7" s="5">
        <v>47555.65</v>
      </c>
      <c r="Q7" s="5">
        <v>47614.22</v>
      </c>
      <c r="R7" s="5">
        <v>48620.73</v>
      </c>
      <c r="S7" s="5">
        <v>48543.86</v>
      </c>
      <c r="T7" s="5">
        <v>48926.33</v>
      </c>
      <c r="U7" s="5">
        <v>49297.24</v>
      </c>
      <c r="V7" s="5">
        <v>49532.97</v>
      </c>
      <c r="W7" s="5">
        <v>49453.48</v>
      </c>
      <c r="X7" s="5">
        <v>49573.34</v>
      </c>
      <c r="Y7" s="5">
        <v>49744.92</v>
      </c>
      <c r="Z7" s="5">
        <v>49680.07</v>
      </c>
      <c r="AA7" s="5">
        <v>50333.46</v>
      </c>
      <c r="AB7" s="5">
        <f t="shared" si="0"/>
        <v>671456.80999999994</v>
      </c>
      <c r="AC7" s="5">
        <f t="shared" si="1"/>
        <v>588876.2699999999</v>
      </c>
      <c r="AD7" s="5">
        <f t="shared" si="2"/>
        <v>-82580.540000000037</v>
      </c>
      <c r="AE7" s="8">
        <f t="shared" si="3"/>
        <v>-0.12298712109271785</v>
      </c>
      <c r="AF7" s="8"/>
      <c r="AG7" s="9"/>
    </row>
    <row r="8" spans="1:33" x14ac:dyDescent="0.45">
      <c r="A8" s="6" t="s">
        <v>31</v>
      </c>
      <c r="B8" s="6" t="s">
        <v>32</v>
      </c>
      <c r="C8" s="6" t="s">
        <v>36</v>
      </c>
      <c r="D8" s="5">
        <v>5657.48</v>
      </c>
      <c r="E8" s="5">
        <v>4071.77</v>
      </c>
      <c r="F8" s="5">
        <v>5943.7</v>
      </c>
      <c r="G8" s="5">
        <v>4519.79</v>
      </c>
      <c r="H8" s="5">
        <v>5199.42</v>
      </c>
      <c r="I8" s="5">
        <v>6076.41</v>
      </c>
      <c r="J8" s="5">
        <v>9204.83</v>
      </c>
      <c r="K8" s="5">
        <v>5508.38</v>
      </c>
      <c r="L8" s="5">
        <v>4969.78</v>
      </c>
      <c r="M8" s="5">
        <v>5079.03</v>
      </c>
      <c r="N8" s="5">
        <v>4415.16</v>
      </c>
      <c r="O8" s="5">
        <v>4248.33</v>
      </c>
      <c r="P8" s="5">
        <v>6176.02</v>
      </c>
      <c r="Q8" s="5">
        <v>5696.07</v>
      </c>
      <c r="R8" s="5">
        <v>4836.41</v>
      </c>
      <c r="S8" s="5">
        <v>4435.4399999999996</v>
      </c>
      <c r="T8" s="5">
        <v>5592.75</v>
      </c>
      <c r="U8" s="5">
        <v>6016.26</v>
      </c>
      <c r="V8" s="5">
        <v>5618.36</v>
      </c>
      <c r="W8" s="5">
        <v>4717.91</v>
      </c>
      <c r="X8" s="5">
        <v>6459.46</v>
      </c>
      <c r="Y8" s="5">
        <v>4816.34</v>
      </c>
      <c r="Z8" s="5">
        <v>5276.66</v>
      </c>
      <c r="AA8" s="5">
        <v>5230.0600000000004</v>
      </c>
      <c r="AB8" s="5">
        <f t="shared" si="0"/>
        <v>64894.080000000002</v>
      </c>
      <c r="AC8" s="5">
        <f t="shared" si="1"/>
        <v>64871.740000000005</v>
      </c>
      <c r="AD8" s="5">
        <f t="shared" si="2"/>
        <v>-22.339999999996508</v>
      </c>
      <c r="AE8" s="8">
        <f t="shared" si="3"/>
        <v>-3.4425328165522197E-4</v>
      </c>
      <c r="AF8" s="8"/>
      <c r="AG8" s="9"/>
    </row>
    <row r="9" spans="1:33" x14ac:dyDescent="0.45">
      <c r="A9" s="6" t="s">
        <v>31</v>
      </c>
      <c r="B9" s="6" t="s">
        <v>32</v>
      </c>
      <c r="C9" s="6" t="s">
        <v>37</v>
      </c>
      <c r="D9" s="5">
        <v>19613.86</v>
      </c>
      <c r="E9" s="5">
        <v>22330.12</v>
      </c>
      <c r="F9" s="5">
        <v>23180.16</v>
      </c>
      <c r="G9" s="5">
        <v>23650.55</v>
      </c>
      <c r="H9" s="5">
        <v>28746.34</v>
      </c>
      <c r="I9" s="5">
        <v>31028.77</v>
      </c>
      <c r="J9" s="5">
        <v>41243.800000000003</v>
      </c>
      <c r="K9" s="5">
        <v>26727.45</v>
      </c>
      <c r="L9" s="5">
        <v>32902.660000000003</v>
      </c>
      <c r="M9" s="5">
        <v>32450.54</v>
      </c>
      <c r="N9" s="5">
        <v>31339.18</v>
      </c>
      <c r="O9" s="5">
        <v>26830.31</v>
      </c>
      <c r="P9" s="5">
        <v>28325.55</v>
      </c>
      <c r="Q9" s="5">
        <v>29393.46</v>
      </c>
      <c r="R9" s="5">
        <v>24020.16</v>
      </c>
      <c r="S9" s="5">
        <v>21808.17</v>
      </c>
      <c r="T9" s="5">
        <v>23518.93</v>
      </c>
      <c r="U9" s="5">
        <v>27278.16</v>
      </c>
      <c r="V9" s="5">
        <v>22395.55</v>
      </c>
      <c r="W9" s="5">
        <v>19737.27</v>
      </c>
      <c r="X9" s="5">
        <v>30961.599999999999</v>
      </c>
      <c r="Y9" s="5">
        <v>25378.58</v>
      </c>
      <c r="Z9" s="5">
        <v>19877.48</v>
      </c>
      <c r="AA9" s="5">
        <v>24031.73</v>
      </c>
      <c r="AB9" s="5">
        <f t="shared" si="0"/>
        <v>340043.74</v>
      </c>
      <c r="AC9" s="5">
        <f t="shared" si="1"/>
        <v>296726.63999999996</v>
      </c>
      <c r="AD9" s="5">
        <f t="shared" si="2"/>
        <v>-43317.100000000035</v>
      </c>
      <c r="AE9" s="8">
        <f t="shared" si="3"/>
        <v>-0.12738684735087327</v>
      </c>
      <c r="AF9" s="8"/>
      <c r="AG9" s="9"/>
    </row>
    <row r="10" spans="1:33" x14ac:dyDescent="0.45">
      <c r="A10" s="6" t="s">
        <v>31</v>
      </c>
      <c r="B10" s="6" t="s">
        <v>32</v>
      </c>
      <c r="C10" s="6" t="s">
        <v>38</v>
      </c>
      <c r="D10" s="5">
        <v>117037.15</v>
      </c>
      <c r="E10" s="5">
        <v>122507.35</v>
      </c>
      <c r="F10" s="5">
        <v>117595.15</v>
      </c>
      <c r="G10" s="5">
        <v>124250.39</v>
      </c>
      <c r="H10" s="5">
        <v>125326.98</v>
      </c>
      <c r="I10" s="5">
        <v>126370.54</v>
      </c>
      <c r="J10" s="5">
        <v>125118.03</v>
      </c>
      <c r="K10" s="5">
        <v>123561.3</v>
      </c>
      <c r="L10" s="5">
        <v>122334.84</v>
      </c>
      <c r="M10" s="5">
        <v>124802.22</v>
      </c>
      <c r="N10" s="5">
        <v>129012.9</v>
      </c>
      <c r="O10" s="5">
        <v>130192.88</v>
      </c>
      <c r="P10" s="5">
        <v>128813.56</v>
      </c>
      <c r="Q10" s="5">
        <v>125980.85</v>
      </c>
      <c r="R10" s="5">
        <v>129441.29</v>
      </c>
      <c r="S10" s="5">
        <v>248092.05</v>
      </c>
      <c r="T10" s="5">
        <v>130448.45</v>
      </c>
      <c r="U10" s="5">
        <v>127766.21</v>
      </c>
      <c r="V10" s="5">
        <v>127988.33</v>
      </c>
      <c r="W10" s="5">
        <v>128712.56</v>
      </c>
      <c r="X10" s="5">
        <v>129430.8</v>
      </c>
      <c r="Y10" s="5">
        <v>131560.71</v>
      </c>
      <c r="Z10" s="5">
        <v>132605.71</v>
      </c>
      <c r="AA10" s="5">
        <v>209420.22</v>
      </c>
      <c r="AB10" s="5">
        <f t="shared" si="0"/>
        <v>1488109.73</v>
      </c>
      <c r="AC10" s="5">
        <f t="shared" si="1"/>
        <v>1750260.7399999998</v>
      </c>
      <c r="AD10" s="5">
        <f t="shared" si="2"/>
        <v>262151.00999999978</v>
      </c>
      <c r="AE10" s="8">
        <f t="shared" si="3"/>
        <v>0.1761637631386227</v>
      </c>
      <c r="AF10" s="8"/>
      <c r="AG10" s="9"/>
    </row>
    <row r="11" spans="1:33" x14ac:dyDescent="0.45">
      <c r="A11" s="6" t="s">
        <v>31</v>
      </c>
      <c r="B11" s="6" t="s">
        <v>32</v>
      </c>
      <c r="C11" s="6" t="s">
        <v>39</v>
      </c>
      <c r="D11" s="5">
        <v>17723.28</v>
      </c>
      <c r="E11" s="5">
        <v>17366.810000000001</v>
      </c>
      <c r="F11" s="5">
        <v>15067.62</v>
      </c>
      <c r="G11" s="5">
        <v>18248.8</v>
      </c>
      <c r="H11" s="5">
        <v>18299.16</v>
      </c>
      <c r="I11" s="5">
        <v>16892.3</v>
      </c>
      <c r="J11" s="5">
        <v>17199.34</v>
      </c>
      <c r="K11" s="5">
        <v>15324.01</v>
      </c>
      <c r="L11" s="5">
        <v>13905.15</v>
      </c>
      <c r="M11" s="5">
        <v>15278.25</v>
      </c>
      <c r="N11" s="5">
        <v>16220.23</v>
      </c>
      <c r="O11" s="5">
        <v>19401.13</v>
      </c>
      <c r="P11" s="5">
        <v>15663.41</v>
      </c>
      <c r="Q11" s="5">
        <v>13695.15</v>
      </c>
      <c r="R11" s="5">
        <v>13430.82</v>
      </c>
      <c r="S11" s="5">
        <v>12969.88</v>
      </c>
      <c r="T11" s="5">
        <v>13566.88</v>
      </c>
      <c r="U11" s="5">
        <v>14845.35</v>
      </c>
      <c r="V11" s="5">
        <v>18393.87</v>
      </c>
      <c r="W11" s="5">
        <v>18254.25</v>
      </c>
      <c r="X11" s="5">
        <v>19578.310000000001</v>
      </c>
      <c r="Y11" s="5">
        <v>14190.08</v>
      </c>
      <c r="Z11" s="5">
        <v>13335.34</v>
      </c>
      <c r="AA11" s="5">
        <v>12750.68</v>
      </c>
      <c r="AB11" s="5">
        <f t="shared" si="0"/>
        <v>200926.08000000002</v>
      </c>
      <c r="AC11" s="5">
        <f t="shared" si="1"/>
        <v>180674.02</v>
      </c>
      <c r="AD11" s="5">
        <f t="shared" si="2"/>
        <v>-20252.060000000027</v>
      </c>
      <c r="AE11" s="8">
        <f t="shared" si="3"/>
        <v>-0.10079358538224617</v>
      </c>
      <c r="AF11" s="8"/>
      <c r="AG11" s="9"/>
    </row>
    <row r="12" spans="1:33" x14ac:dyDescent="0.45">
      <c r="A12" s="6" t="s">
        <v>31</v>
      </c>
      <c r="B12" s="6" t="s">
        <v>32</v>
      </c>
      <c r="C12" s="6" t="s">
        <v>40</v>
      </c>
      <c r="D12" s="5">
        <v>18301.59</v>
      </c>
      <c r="E12" s="5">
        <v>21712.45</v>
      </c>
      <c r="F12" s="5">
        <v>17040.68</v>
      </c>
      <c r="G12" s="5">
        <v>17155.759999999998</v>
      </c>
      <c r="H12" s="5">
        <v>26189.65</v>
      </c>
      <c r="I12" s="5">
        <v>25145.78</v>
      </c>
      <c r="J12" s="5">
        <v>21105.66</v>
      </c>
      <c r="K12" s="5">
        <v>15710.16</v>
      </c>
      <c r="L12" s="5">
        <v>14857.57</v>
      </c>
      <c r="M12" s="5">
        <v>21831.35</v>
      </c>
      <c r="N12" s="5">
        <v>15762.11</v>
      </c>
      <c r="O12" s="5">
        <v>15355.05</v>
      </c>
      <c r="P12" s="5">
        <v>25571.84</v>
      </c>
      <c r="Q12" s="5">
        <v>22859</v>
      </c>
      <c r="R12" s="5">
        <v>21082.07</v>
      </c>
      <c r="S12" s="5">
        <v>21670.78</v>
      </c>
      <c r="T12" s="5">
        <v>17554.150000000001</v>
      </c>
      <c r="U12" s="5">
        <v>16032.36</v>
      </c>
      <c r="V12" s="5">
        <v>21334.66</v>
      </c>
      <c r="W12" s="5">
        <v>18364.7</v>
      </c>
      <c r="X12" s="5">
        <v>17068.79</v>
      </c>
      <c r="Y12" s="5">
        <v>16381.64</v>
      </c>
      <c r="Z12" s="5">
        <v>24270.97</v>
      </c>
      <c r="AA12" s="5">
        <v>26351.39</v>
      </c>
      <c r="AB12" s="5">
        <f t="shared" si="0"/>
        <v>230167.81</v>
      </c>
      <c r="AC12" s="5">
        <f t="shared" si="1"/>
        <v>248542.34999999998</v>
      </c>
      <c r="AD12" s="5">
        <f t="shared" si="2"/>
        <v>18374.539999999979</v>
      </c>
      <c r="AE12" s="8">
        <f t="shared" si="3"/>
        <v>7.9831058913059902E-2</v>
      </c>
      <c r="AF12" s="8"/>
      <c r="AG12" s="9"/>
    </row>
    <row r="13" spans="1:33" x14ac:dyDescent="0.45">
      <c r="A13" s="6" t="s">
        <v>31</v>
      </c>
      <c r="B13" s="6" t="s">
        <v>32</v>
      </c>
      <c r="C13" s="6" t="s">
        <v>41</v>
      </c>
      <c r="D13" s="5">
        <v>7821.88</v>
      </c>
      <c r="E13" s="5">
        <v>8077.89</v>
      </c>
      <c r="F13" s="5">
        <v>7464.47</v>
      </c>
      <c r="G13" s="5">
        <v>14765.48</v>
      </c>
      <c r="H13" s="5">
        <v>13317.8</v>
      </c>
      <c r="I13" s="5">
        <v>8083.54</v>
      </c>
      <c r="J13" s="5">
        <v>8036.26</v>
      </c>
      <c r="K13" s="5">
        <v>8364.2099999999991</v>
      </c>
      <c r="L13" s="5">
        <v>9056.9</v>
      </c>
      <c r="M13" s="5">
        <v>9084.57</v>
      </c>
      <c r="N13" s="5">
        <v>8844.9500000000007</v>
      </c>
      <c r="O13" s="5">
        <v>7978.47</v>
      </c>
      <c r="P13" s="5">
        <v>8800.2199999999993</v>
      </c>
      <c r="Q13" s="5">
        <v>8709.09</v>
      </c>
      <c r="R13" s="5">
        <v>9297.5499999999993</v>
      </c>
      <c r="S13" s="5">
        <v>9251.15</v>
      </c>
      <c r="T13" s="5">
        <v>7933.54</v>
      </c>
      <c r="U13" s="5">
        <v>8813.7900000000009</v>
      </c>
      <c r="V13" s="5">
        <v>7972.49</v>
      </c>
      <c r="W13" s="5">
        <v>9461.61</v>
      </c>
      <c r="X13" s="5">
        <v>7962.72</v>
      </c>
      <c r="Y13" s="5">
        <v>8767.7999999999993</v>
      </c>
      <c r="Z13" s="5">
        <v>9536.83</v>
      </c>
      <c r="AA13" s="5">
        <v>9634.91</v>
      </c>
      <c r="AB13" s="5">
        <f t="shared" si="0"/>
        <v>110896.42</v>
      </c>
      <c r="AC13" s="5">
        <f t="shared" si="1"/>
        <v>106141.70000000001</v>
      </c>
      <c r="AD13" s="5">
        <f t="shared" si="2"/>
        <v>-4754.7199999999866</v>
      </c>
      <c r="AE13" s="8">
        <f t="shared" si="3"/>
        <v>-4.2875324559620467E-2</v>
      </c>
      <c r="AF13" s="8"/>
      <c r="AG13" s="9"/>
    </row>
    <row r="14" spans="1:33" x14ac:dyDescent="0.45">
      <c r="A14" s="6" t="s">
        <v>31</v>
      </c>
      <c r="B14" s="6" t="s">
        <v>42</v>
      </c>
      <c r="C14" s="6" t="s">
        <v>43</v>
      </c>
      <c r="D14" s="5">
        <v>38797.78</v>
      </c>
      <c r="E14" s="5">
        <v>41227.68</v>
      </c>
      <c r="F14" s="5">
        <v>32214.74</v>
      </c>
      <c r="G14" s="5">
        <v>36309.4</v>
      </c>
      <c r="H14" s="5">
        <v>32347.09</v>
      </c>
      <c r="I14" s="5">
        <v>30715.200000000001</v>
      </c>
      <c r="J14" s="5">
        <v>29590.04</v>
      </c>
      <c r="K14" s="5">
        <v>39188.620000000003</v>
      </c>
      <c r="L14" s="5">
        <v>33780.519999999997</v>
      </c>
      <c r="M14" s="5">
        <v>43180.06</v>
      </c>
      <c r="N14" s="5">
        <v>40500.36</v>
      </c>
      <c r="O14" s="5">
        <v>38194.44</v>
      </c>
      <c r="P14" s="5">
        <v>35360.199999999997</v>
      </c>
      <c r="Q14" s="5">
        <v>30277.55</v>
      </c>
      <c r="R14" s="5">
        <v>35165.46</v>
      </c>
      <c r="S14" s="5">
        <v>40873.9</v>
      </c>
      <c r="T14" s="5">
        <v>33990.32</v>
      </c>
      <c r="U14" s="5">
        <v>35531.18</v>
      </c>
      <c r="V14" s="5">
        <v>37261.040000000001</v>
      </c>
      <c r="W14" s="5">
        <v>42934.75</v>
      </c>
      <c r="X14" s="5">
        <v>46029.24</v>
      </c>
      <c r="Y14" s="5">
        <v>38761.5</v>
      </c>
      <c r="Z14" s="5">
        <v>43576.03</v>
      </c>
      <c r="AA14" s="5">
        <v>38886.839999999997</v>
      </c>
      <c r="AB14" s="5">
        <f t="shared" si="0"/>
        <v>436045.93000000005</v>
      </c>
      <c r="AC14" s="5">
        <f t="shared" si="1"/>
        <v>458648.01</v>
      </c>
      <c r="AD14" s="5">
        <f t="shared" si="2"/>
        <v>22602.079999999958</v>
      </c>
      <c r="AE14" s="8">
        <f t="shared" si="3"/>
        <v>5.1834172606541599E-2</v>
      </c>
      <c r="AF14" s="8"/>
      <c r="AG14" s="9"/>
    </row>
    <row r="15" spans="1:33" x14ac:dyDescent="0.45">
      <c r="A15" s="6" t="s">
        <v>31</v>
      </c>
      <c r="B15" s="6" t="s">
        <v>42</v>
      </c>
      <c r="C15" s="6" t="s">
        <v>44</v>
      </c>
      <c r="D15" s="5">
        <v>113640.69</v>
      </c>
      <c r="E15" s="5">
        <v>106848.84</v>
      </c>
      <c r="F15" s="5">
        <v>111129.28</v>
      </c>
      <c r="G15" s="5">
        <v>114507.95</v>
      </c>
      <c r="H15" s="5">
        <v>104905.65</v>
      </c>
      <c r="I15" s="5">
        <v>114843.4</v>
      </c>
      <c r="J15" s="5">
        <v>115546.45</v>
      </c>
      <c r="K15" s="5">
        <v>203595.28</v>
      </c>
      <c r="L15" s="5">
        <v>117806.37</v>
      </c>
      <c r="M15" s="5">
        <v>107484.35</v>
      </c>
      <c r="N15" s="5">
        <v>123843.73</v>
      </c>
      <c r="O15" s="5">
        <v>115278.72</v>
      </c>
      <c r="P15" s="5">
        <v>110164.72</v>
      </c>
      <c r="Q15" s="5">
        <v>115449.18</v>
      </c>
      <c r="R15" s="5">
        <v>120446.69</v>
      </c>
      <c r="S15" s="5">
        <v>109585.89</v>
      </c>
      <c r="T15" s="5">
        <v>111333.67</v>
      </c>
      <c r="U15" s="5">
        <v>120101.33</v>
      </c>
      <c r="V15" s="5">
        <v>117962.79</v>
      </c>
      <c r="W15" s="5">
        <v>113408.89</v>
      </c>
      <c r="X15" s="5">
        <v>120211.95</v>
      </c>
      <c r="Y15" s="5">
        <v>113639.93</v>
      </c>
      <c r="Z15" s="5">
        <v>112886.31</v>
      </c>
      <c r="AA15" s="5">
        <v>115760.36</v>
      </c>
      <c r="AB15" s="5">
        <f t="shared" si="0"/>
        <v>1449430.7100000002</v>
      </c>
      <c r="AC15" s="5">
        <f t="shared" si="1"/>
        <v>1380951.7100000002</v>
      </c>
      <c r="AD15" s="5">
        <f t="shared" si="2"/>
        <v>-68479</v>
      </c>
      <c r="AE15" s="8">
        <f t="shared" si="3"/>
        <v>-4.7245445765392947E-2</v>
      </c>
      <c r="AF15" s="8"/>
      <c r="AG15" s="9"/>
    </row>
    <row r="16" spans="1:33" x14ac:dyDescent="0.45">
      <c r="A16" s="6" t="s">
        <v>31</v>
      </c>
      <c r="B16" s="6" t="s">
        <v>45</v>
      </c>
      <c r="C16" s="6" t="s">
        <v>46</v>
      </c>
      <c r="D16" s="5">
        <v>78671.25</v>
      </c>
      <c r="E16" s="5">
        <v>61048.58</v>
      </c>
      <c r="F16" s="5">
        <v>87780.32</v>
      </c>
      <c r="G16" s="5">
        <v>77486.67</v>
      </c>
      <c r="H16" s="5">
        <v>60593.35</v>
      </c>
      <c r="I16" s="5">
        <v>64474.42</v>
      </c>
      <c r="J16" s="5">
        <v>88786.02</v>
      </c>
      <c r="K16" s="5">
        <v>90694.43</v>
      </c>
      <c r="L16" s="5">
        <v>91947.29</v>
      </c>
      <c r="M16" s="5">
        <v>90442.34</v>
      </c>
      <c r="N16" s="5">
        <v>80751.44</v>
      </c>
      <c r="O16" s="5">
        <v>88915.3</v>
      </c>
      <c r="P16" s="5">
        <v>98434.52</v>
      </c>
      <c r="Q16" s="5">
        <v>97729.51</v>
      </c>
      <c r="R16" s="5">
        <v>91702.94</v>
      </c>
      <c r="S16" s="5">
        <v>75223.289999999994</v>
      </c>
      <c r="T16" s="5">
        <v>65661.11</v>
      </c>
      <c r="U16" s="5">
        <v>94377.24</v>
      </c>
      <c r="V16" s="5">
        <v>95366.03</v>
      </c>
      <c r="W16" s="5">
        <v>87475.4</v>
      </c>
      <c r="X16" s="5">
        <v>81043.100000000006</v>
      </c>
      <c r="Y16" s="5">
        <v>100408.88</v>
      </c>
      <c r="Z16" s="5">
        <v>84391.77</v>
      </c>
      <c r="AA16" s="5">
        <v>63356.959999999999</v>
      </c>
      <c r="AB16" s="5">
        <f t="shared" si="0"/>
        <v>961591.41000000015</v>
      </c>
      <c r="AC16" s="5">
        <f t="shared" si="1"/>
        <v>1035170.7499999999</v>
      </c>
      <c r="AD16" s="5">
        <f t="shared" si="2"/>
        <v>73579.339999999735</v>
      </c>
      <c r="AE16" s="8">
        <f t="shared" si="3"/>
        <v>7.6518300012683893E-2</v>
      </c>
      <c r="AF16" s="8"/>
      <c r="AG16" s="9"/>
    </row>
    <row r="17" spans="1:33" x14ac:dyDescent="0.45">
      <c r="A17" s="6" t="s">
        <v>31</v>
      </c>
      <c r="B17" s="6" t="s">
        <v>45</v>
      </c>
      <c r="C17" s="6" t="s">
        <v>47</v>
      </c>
      <c r="D17" s="5">
        <v>91270.03</v>
      </c>
      <c r="E17" s="5">
        <v>85952.35</v>
      </c>
      <c r="F17" s="5">
        <v>76375.8</v>
      </c>
      <c r="G17" s="5">
        <v>86759.35</v>
      </c>
      <c r="H17" s="5">
        <v>91321.26</v>
      </c>
      <c r="I17" s="5">
        <v>74515.09</v>
      </c>
      <c r="J17" s="5">
        <v>91488.83</v>
      </c>
      <c r="K17" s="5">
        <v>81310.23</v>
      </c>
      <c r="L17" s="5">
        <v>71885.33</v>
      </c>
      <c r="M17" s="5">
        <v>91254.94</v>
      </c>
      <c r="N17" s="5">
        <v>91356.34</v>
      </c>
      <c r="O17" s="5">
        <v>73211.83</v>
      </c>
      <c r="P17" s="5">
        <v>83942.43</v>
      </c>
      <c r="Q17" s="5">
        <v>98064.78</v>
      </c>
      <c r="R17" s="5">
        <v>84059.77</v>
      </c>
      <c r="S17" s="5">
        <v>75458.649999999994</v>
      </c>
      <c r="T17" s="5">
        <v>74028.73</v>
      </c>
      <c r="U17" s="5">
        <v>76779.960000000006</v>
      </c>
      <c r="V17" s="5">
        <v>86548.97</v>
      </c>
      <c r="W17" s="5">
        <v>98401.76</v>
      </c>
      <c r="X17" s="5">
        <v>79702.720000000001</v>
      </c>
      <c r="Y17" s="5">
        <v>160945.63</v>
      </c>
      <c r="Z17" s="5">
        <v>90663.29</v>
      </c>
      <c r="AA17" s="5">
        <v>93838.01</v>
      </c>
      <c r="AB17" s="5">
        <f t="shared" si="0"/>
        <v>1006701.3799999999</v>
      </c>
      <c r="AC17" s="5">
        <f t="shared" si="1"/>
        <v>1102434.7</v>
      </c>
      <c r="AD17" s="5">
        <f t="shared" si="2"/>
        <v>95733.320000000065</v>
      </c>
      <c r="AE17" s="8">
        <f t="shared" si="3"/>
        <v>9.5096045264187551E-2</v>
      </c>
      <c r="AF17" s="8"/>
      <c r="AG17" s="9"/>
    </row>
    <row r="18" spans="1:33" x14ac:dyDescent="0.45">
      <c r="A18" s="6" t="s">
        <v>31</v>
      </c>
      <c r="B18" s="6" t="s">
        <v>45</v>
      </c>
      <c r="C18" s="6" t="s">
        <v>48</v>
      </c>
      <c r="D18" s="5">
        <v>117579.96</v>
      </c>
      <c r="E18" s="5">
        <v>116085.2</v>
      </c>
      <c r="F18" s="5">
        <v>89993.73</v>
      </c>
      <c r="G18" s="5">
        <v>106871.62</v>
      </c>
      <c r="H18" s="5">
        <v>113418.92</v>
      </c>
      <c r="I18" s="5">
        <v>170474.81</v>
      </c>
      <c r="J18" s="5">
        <v>103484.05</v>
      </c>
      <c r="K18" s="5">
        <v>83876.53</v>
      </c>
      <c r="L18" s="5">
        <v>109288.29</v>
      </c>
      <c r="M18" s="5">
        <v>91060.52</v>
      </c>
      <c r="N18" s="5">
        <v>104832.17</v>
      </c>
      <c r="O18" s="5">
        <v>89416.07</v>
      </c>
      <c r="P18" s="5">
        <v>109633.14</v>
      </c>
      <c r="Q18" s="5">
        <v>108963.61</v>
      </c>
      <c r="R18" s="5">
        <v>100583.61</v>
      </c>
      <c r="S18" s="5">
        <v>105911.92</v>
      </c>
      <c r="T18" s="5">
        <v>95623.01</v>
      </c>
      <c r="U18" s="5">
        <v>129013.59</v>
      </c>
      <c r="V18" s="5">
        <v>102520.27</v>
      </c>
      <c r="W18" s="5">
        <v>92833.04</v>
      </c>
      <c r="X18" s="5">
        <v>113824.24</v>
      </c>
      <c r="Y18" s="5">
        <v>106142.95</v>
      </c>
      <c r="Z18" s="5">
        <v>123418.46</v>
      </c>
      <c r="AA18" s="5">
        <v>102427.27</v>
      </c>
      <c r="AB18" s="5">
        <f t="shared" si="0"/>
        <v>1296381.8700000001</v>
      </c>
      <c r="AC18" s="5">
        <f t="shared" si="1"/>
        <v>1290895.1100000001</v>
      </c>
      <c r="AD18" s="5">
        <f t="shared" si="2"/>
        <v>-5486.7600000000093</v>
      </c>
      <c r="AE18" s="8">
        <f t="shared" si="3"/>
        <v>-4.2323640332921414E-3</v>
      </c>
      <c r="AF18" s="8"/>
      <c r="AG18" s="9"/>
    </row>
    <row r="19" spans="1:33" x14ac:dyDescent="0.45">
      <c r="A19" s="6" t="s">
        <v>31</v>
      </c>
      <c r="B19" s="6" t="s">
        <v>45</v>
      </c>
      <c r="C19" s="6" t="s">
        <v>49</v>
      </c>
      <c r="D19" s="5">
        <v>150700.65</v>
      </c>
      <c r="E19" s="5">
        <v>147925.09</v>
      </c>
      <c r="F19" s="5">
        <v>156131.95000000001</v>
      </c>
      <c r="G19" s="5">
        <v>156233.16</v>
      </c>
      <c r="H19" s="5">
        <v>150692.91</v>
      </c>
      <c r="I19" s="5">
        <v>154957.59</v>
      </c>
      <c r="J19" s="5">
        <v>159305.4</v>
      </c>
      <c r="K19" s="5">
        <v>159884.24</v>
      </c>
      <c r="L19" s="5">
        <v>157883.13</v>
      </c>
      <c r="M19" s="5">
        <v>162744.70000000001</v>
      </c>
      <c r="N19" s="5">
        <v>161577.42000000001</v>
      </c>
      <c r="O19" s="5">
        <v>274428.67</v>
      </c>
      <c r="P19" s="5">
        <v>155582.57999999999</v>
      </c>
      <c r="Q19" s="5">
        <v>165731.91</v>
      </c>
      <c r="R19" s="5">
        <v>162069.29999999999</v>
      </c>
      <c r="S19" s="5">
        <v>157826.45000000001</v>
      </c>
      <c r="T19" s="5">
        <v>158408.28</v>
      </c>
      <c r="U19" s="5">
        <v>161465.14000000001</v>
      </c>
      <c r="V19" s="5">
        <v>167934.28</v>
      </c>
      <c r="W19" s="5">
        <v>162540.59</v>
      </c>
      <c r="X19" s="5">
        <v>161124.1</v>
      </c>
      <c r="Y19" s="5">
        <v>158585.16</v>
      </c>
      <c r="Z19" s="5">
        <v>159021.97</v>
      </c>
      <c r="AA19" s="5">
        <v>173031.18</v>
      </c>
      <c r="AB19" s="5">
        <f t="shared" si="0"/>
        <v>1992464.91</v>
      </c>
      <c r="AC19" s="5">
        <f t="shared" si="1"/>
        <v>1943320.94</v>
      </c>
      <c r="AD19" s="5">
        <f t="shared" si="2"/>
        <v>-49143.969999999972</v>
      </c>
      <c r="AE19" s="8">
        <f t="shared" si="3"/>
        <v>-2.4664911162726563E-2</v>
      </c>
      <c r="AF19" s="8"/>
      <c r="AG19" s="9"/>
    </row>
    <row r="20" spans="1:33" x14ac:dyDescent="0.45">
      <c r="A20" s="6" t="s">
        <v>31</v>
      </c>
      <c r="B20" s="6" t="s">
        <v>50</v>
      </c>
      <c r="C20" s="6" t="s">
        <v>51</v>
      </c>
      <c r="D20" s="5">
        <v>27033.13</v>
      </c>
      <c r="E20" s="5">
        <v>28519.38</v>
      </c>
      <c r="F20" s="5">
        <v>52323.07</v>
      </c>
      <c r="G20" s="5">
        <v>32748</v>
      </c>
      <c r="H20" s="5">
        <v>31564.59</v>
      </c>
      <c r="I20" s="5">
        <v>31185.95</v>
      </c>
      <c r="J20" s="5">
        <v>32573.83</v>
      </c>
      <c r="K20" s="5">
        <v>28043.41</v>
      </c>
      <c r="L20" s="5">
        <v>44440.31</v>
      </c>
      <c r="M20" s="5">
        <v>28296.48</v>
      </c>
      <c r="N20" s="5">
        <v>30704.53</v>
      </c>
      <c r="O20" s="5">
        <v>32489.61</v>
      </c>
      <c r="P20" s="5">
        <v>33801.67</v>
      </c>
      <c r="Q20" s="5">
        <v>32369.759999999998</v>
      </c>
      <c r="R20" s="5">
        <v>29888.47</v>
      </c>
      <c r="S20" s="5">
        <v>32038.12</v>
      </c>
      <c r="T20" s="5">
        <v>33116.06</v>
      </c>
      <c r="U20" s="5">
        <v>30332.48</v>
      </c>
      <c r="V20" s="5">
        <v>31810.76</v>
      </c>
      <c r="W20" s="5">
        <v>30328.74</v>
      </c>
      <c r="X20" s="5">
        <v>35915.730000000003</v>
      </c>
      <c r="Y20" s="5">
        <v>30862.47</v>
      </c>
      <c r="Z20" s="5">
        <v>31556.27</v>
      </c>
      <c r="AA20" s="5">
        <v>36504.639999999999</v>
      </c>
      <c r="AB20" s="5">
        <f t="shared" si="0"/>
        <v>399922.28999999992</v>
      </c>
      <c r="AC20" s="5">
        <f t="shared" si="1"/>
        <v>388525.17000000004</v>
      </c>
      <c r="AD20" s="5">
        <f t="shared" si="2"/>
        <v>-11397.119999999879</v>
      </c>
      <c r="AE20" s="8">
        <f t="shared" si="3"/>
        <v>-2.8498336514326025E-2</v>
      </c>
      <c r="AF20" s="8"/>
      <c r="AG20" s="9"/>
    </row>
    <row r="21" spans="1:33" x14ac:dyDescent="0.45">
      <c r="A21" s="6" t="s">
        <v>31</v>
      </c>
      <c r="B21" s="6" t="s">
        <v>50</v>
      </c>
      <c r="C21" s="6" t="s">
        <v>52</v>
      </c>
      <c r="D21" s="5">
        <v>92450.2</v>
      </c>
      <c r="E21" s="5">
        <v>89654.28</v>
      </c>
      <c r="F21" s="5">
        <v>90859.99</v>
      </c>
      <c r="G21" s="5">
        <v>87819.08</v>
      </c>
      <c r="H21" s="5">
        <v>93173.63</v>
      </c>
      <c r="I21" s="5">
        <v>96289.18</v>
      </c>
      <c r="J21" s="5">
        <v>89257.29</v>
      </c>
      <c r="K21" s="5">
        <v>91837.95</v>
      </c>
      <c r="L21" s="5">
        <v>90796.24</v>
      </c>
      <c r="M21" s="5">
        <v>97816.68</v>
      </c>
      <c r="N21" s="5">
        <v>99161.66</v>
      </c>
      <c r="O21" s="5">
        <v>99468.84</v>
      </c>
      <c r="P21" s="5">
        <v>153853.57999999999</v>
      </c>
      <c r="Q21" s="5">
        <v>99318.83</v>
      </c>
      <c r="R21" s="5">
        <v>92798.33</v>
      </c>
      <c r="S21" s="5">
        <v>97985.18</v>
      </c>
      <c r="T21" s="5">
        <v>95889.97</v>
      </c>
      <c r="U21" s="5">
        <v>95688.76</v>
      </c>
      <c r="V21" s="5">
        <v>99827.32</v>
      </c>
      <c r="W21" s="5">
        <v>97111.82</v>
      </c>
      <c r="X21" s="5">
        <v>98382.87</v>
      </c>
      <c r="Y21" s="5">
        <v>96378.72</v>
      </c>
      <c r="Z21" s="5">
        <v>95318.6</v>
      </c>
      <c r="AA21" s="5">
        <v>99858.07</v>
      </c>
      <c r="AB21" s="5">
        <f t="shared" si="0"/>
        <v>1118585.02</v>
      </c>
      <c r="AC21" s="5">
        <f t="shared" si="1"/>
        <v>1222412.05</v>
      </c>
      <c r="AD21" s="5">
        <f t="shared" si="2"/>
        <v>103827.03000000003</v>
      </c>
      <c r="AE21" s="8">
        <f t="shared" si="3"/>
        <v>9.2819971789001809E-2</v>
      </c>
      <c r="AF21" s="8"/>
      <c r="AG21" s="9"/>
    </row>
    <row r="22" spans="1:33" x14ac:dyDescent="0.45">
      <c r="A22" s="6" t="s">
        <v>31</v>
      </c>
      <c r="B22" s="6" t="s">
        <v>50</v>
      </c>
      <c r="C22" s="6" t="s">
        <v>53</v>
      </c>
      <c r="D22" s="5">
        <v>34894.61</v>
      </c>
      <c r="E22" s="5">
        <v>45122.73</v>
      </c>
      <c r="F22" s="5">
        <v>45997.27</v>
      </c>
      <c r="G22" s="5">
        <v>36185.01</v>
      </c>
      <c r="H22" s="5">
        <v>38662.89</v>
      </c>
      <c r="I22" s="5">
        <v>36940.769999999997</v>
      </c>
      <c r="J22" s="5">
        <v>45194.65</v>
      </c>
      <c r="K22" s="5">
        <v>40414.44</v>
      </c>
      <c r="L22" s="5">
        <v>47378.43</v>
      </c>
      <c r="M22" s="5">
        <v>45915.74</v>
      </c>
      <c r="N22" s="5">
        <v>36748.31</v>
      </c>
      <c r="O22" s="5">
        <v>36827.519999999997</v>
      </c>
      <c r="P22" s="5">
        <v>47941.97</v>
      </c>
      <c r="Q22" s="5">
        <v>46123.5</v>
      </c>
      <c r="R22" s="5">
        <v>39494.199999999997</v>
      </c>
      <c r="S22" s="5">
        <v>41367.54</v>
      </c>
      <c r="T22" s="5">
        <v>45132.84</v>
      </c>
      <c r="U22" s="5">
        <v>38426.449999999997</v>
      </c>
      <c r="V22" s="5">
        <v>39250.559999999998</v>
      </c>
      <c r="W22" s="5">
        <v>47306.239999999998</v>
      </c>
      <c r="X22" s="5">
        <v>45068.38</v>
      </c>
      <c r="Y22" s="5">
        <v>84291.04</v>
      </c>
      <c r="Z22" s="5">
        <v>47347.74</v>
      </c>
      <c r="AA22" s="5">
        <v>43452.78</v>
      </c>
      <c r="AB22" s="5">
        <f t="shared" si="0"/>
        <v>490282.37</v>
      </c>
      <c r="AC22" s="5">
        <f t="shared" si="1"/>
        <v>565203.24</v>
      </c>
      <c r="AD22" s="5">
        <f t="shared" si="2"/>
        <v>74920.87</v>
      </c>
      <c r="AE22" s="8">
        <f t="shared" si="3"/>
        <v>0.15281167462741929</v>
      </c>
      <c r="AF22" s="8"/>
      <c r="AG22" s="9"/>
    </row>
    <row r="23" spans="1:33" x14ac:dyDescent="0.45">
      <c r="A23" s="6" t="s">
        <v>54</v>
      </c>
      <c r="B23" s="6" t="s">
        <v>54</v>
      </c>
      <c r="C23" s="6" t="s">
        <v>55</v>
      </c>
      <c r="D23" s="5">
        <v>49372.7</v>
      </c>
      <c r="E23" s="5">
        <v>52253.57</v>
      </c>
      <c r="F23" s="5">
        <v>51159.97</v>
      </c>
      <c r="G23" s="5">
        <v>50493.29</v>
      </c>
      <c r="H23" s="5">
        <v>48280.09</v>
      </c>
      <c r="I23" s="5">
        <v>48279.97</v>
      </c>
      <c r="J23" s="5">
        <v>47790.42</v>
      </c>
      <c r="K23" s="5">
        <v>51830.879999999997</v>
      </c>
      <c r="L23" s="5">
        <v>50505.58</v>
      </c>
      <c r="M23" s="5">
        <v>51040.36</v>
      </c>
      <c r="N23" s="5">
        <v>47602.92</v>
      </c>
      <c r="O23" s="5">
        <v>52349.55</v>
      </c>
      <c r="P23" s="5">
        <v>51662.21</v>
      </c>
      <c r="Q23" s="5">
        <v>48561.7</v>
      </c>
      <c r="R23" s="5">
        <v>48409.120000000003</v>
      </c>
      <c r="S23" s="5">
        <v>48417.02</v>
      </c>
      <c r="T23" s="5">
        <v>49021.21</v>
      </c>
      <c r="U23" s="5">
        <v>50123.78</v>
      </c>
      <c r="V23" s="5">
        <v>49659.73</v>
      </c>
      <c r="W23" s="5">
        <v>48956.15</v>
      </c>
      <c r="X23" s="5">
        <v>50559.26</v>
      </c>
      <c r="Y23" s="5">
        <v>48197.47</v>
      </c>
      <c r="Z23" s="5">
        <v>48960.72</v>
      </c>
      <c r="AA23" s="5">
        <v>49331.81</v>
      </c>
      <c r="AB23" s="5">
        <f t="shared" si="0"/>
        <v>600959.30000000005</v>
      </c>
      <c r="AC23" s="5">
        <f t="shared" si="1"/>
        <v>591860.17999999993</v>
      </c>
      <c r="AD23" s="5">
        <f t="shared" si="2"/>
        <v>-9099.1200000001118</v>
      </c>
      <c r="AE23" s="8">
        <f t="shared" si="3"/>
        <v>-1.5140992077167474E-2</v>
      </c>
      <c r="AF23" s="8"/>
      <c r="AG23" s="9"/>
    </row>
    <row r="24" spans="1:33" x14ac:dyDescent="0.45">
      <c r="A24" s="6" t="s">
        <v>54</v>
      </c>
      <c r="B24" s="6" t="s">
        <v>54</v>
      </c>
      <c r="C24" s="6" t="s">
        <v>56</v>
      </c>
      <c r="D24" s="5">
        <v>419667.96</v>
      </c>
      <c r="E24" s="5">
        <v>453038.47</v>
      </c>
      <c r="F24" s="5">
        <v>532268.31999999995</v>
      </c>
      <c r="G24" s="5">
        <v>535838.86</v>
      </c>
      <c r="H24" s="5">
        <v>522599.26</v>
      </c>
      <c r="I24" s="5">
        <v>613007.4</v>
      </c>
      <c r="J24" s="5">
        <v>618927.39</v>
      </c>
      <c r="K24" s="5">
        <v>595373.9</v>
      </c>
      <c r="L24" s="5">
        <v>591753.31000000006</v>
      </c>
      <c r="M24" s="5">
        <v>609979.57999999996</v>
      </c>
      <c r="N24" s="5">
        <v>754360.06</v>
      </c>
      <c r="O24" s="5">
        <v>846171.1</v>
      </c>
      <c r="P24" s="5">
        <v>556921.51</v>
      </c>
      <c r="Q24" s="5">
        <v>533967.72</v>
      </c>
      <c r="R24" s="5">
        <v>638748.12</v>
      </c>
      <c r="S24" s="5">
        <v>651629.38</v>
      </c>
      <c r="T24" s="5">
        <v>672956.18</v>
      </c>
      <c r="U24" s="5">
        <v>807132.05</v>
      </c>
      <c r="V24" s="5">
        <v>815652.63</v>
      </c>
      <c r="W24" s="5">
        <v>713198.6</v>
      </c>
      <c r="X24" s="5">
        <v>751284.07</v>
      </c>
      <c r="Y24" s="5">
        <v>730512.82</v>
      </c>
      <c r="Z24" s="5">
        <v>983999.68</v>
      </c>
      <c r="AA24" s="5">
        <v>1011286.82</v>
      </c>
      <c r="AB24" s="5">
        <f t="shared" si="0"/>
        <v>7092985.6100000013</v>
      </c>
      <c r="AC24" s="5">
        <f t="shared" si="1"/>
        <v>8867289.5800000001</v>
      </c>
      <c r="AD24" s="5">
        <f t="shared" si="2"/>
        <v>1774303.9699999988</v>
      </c>
      <c r="AE24" s="8">
        <f t="shared" si="3"/>
        <v>0.25014910047166983</v>
      </c>
      <c r="AF24" s="8"/>
      <c r="AG24" s="9"/>
    </row>
    <row r="25" spans="1:33" x14ac:dyDescent="0.45">
      <c r="A25" s="6" t="s">
        <v>54</v>
      </c>
      <c r="B25" s="6" t="s">
        <v>54</v>
      </c>
      <c r="C25" s="6" t="s">
        <v>57</v>
      </c>
      <c r="D25" s="5">
        <v>296236.2</v>
      </c>
      <c r="E25" s="5">
        <v>319791.86</v>
      </c>
      <c r="F25" s="5">
        <v>319360.99</v>
      </c>
      <c r="G25" s="5">
        <v>321503.32</v>
      </c>
      <c r="H25" s="5">
        <v>313559.55</v>
      </c>
      <c r="I25" s="5">
        <v>319829.95</v>
      </c>
      <c r="J25" s="5">
        <v>322918.64</v>
      </c>
      <c r="K25" s="5">
        <v>357224.34</v>
      </c>
      <c r="L25" s="5">
        <v>355051.98</v>
      </c>
      <c r="M25" s="5">
        <v>365987.75</v>
      </c>
      <c r="N25" s="5">
        <v>348166.18</v>
      </c>
      <c r="O25" s="5">
        <v>390540.51</v>
      </c>
      <c r="P25" s="5">
        <v>393121.07</v>
      </c>
      <c r="Q25" s="5">
        <v>376918.39</v>
      </c>
      <c r="R25" s="5">
        <v>383248.87</v>
      </c>
      <c r="S25" s="5">
        <v>390977.63</v>
      </c>
      <c r="T25" s="5">
        <v>403773.71</v>
      </c>
      <c r="U25" s="5">
        <v>421112.38</v>
      </c>
      <c r="V25" s="5">
        <v>425557.9</v>
      </c>
      <c r="W25" s="5">
        <v>427919.16</v>
      </c>
      <c r="X25" s="5">
        <v>450770.44</v>
      </c>
      <c r="Y25" s="5">
        <v>438307.69</v>
      </c>
      <c r="Z25" s="5">
        <v>454153.7</v>
      </c>
      <c r="AA25" s="5">
        <v>466747.76</v>
      </c>
      <c r="AB25" s="5">
        <f t="shared" si="0"/>
        <v>4030171.2700000005</v>
      </c>
      <c r="AC25" s="5">
        <f t="shared" si="1"/>
        <v>5032608.6999999993</v>
      </c>
      <c r="AD25" s="5">
        <f t="shared" si="2"/>
        <v>1002437.4299999988</v>
      </c>
      <c r="AE25" s="8">
        <f t="shared" si="3"/>
        <v>0.24873320830357631</v>
      </c>
      <c r="AF25" s="8"/>
      <c r="AG25" s="9"/>
    </row>
    <row r="26" spans="1:33" x14ac:dyDescent="0.45">
      <c r="A26" s="6" t="s">
        <v>54</v>
      </c>
      <c r="B26" s="6" t="s">
        <v>54</v>
      </c>
      <c r="C26" s="6" t="s">
        <v>58</v>
      </c>
      <c r="D26" s="5">
        <v>157500</v>
      </c>
      <c r="E26" s="5">
        <v>160650</v>
      </c>
      <c r="F26" s="5">
        <v>163863</v>
      </c>
      <c r="G26" s="5">
        <v>167140.26</v>
      </c>
      <c r="H26" s="5">
        <v>170483.07</v>
      </c>
      <c r="I26" s="5">
        <v>173892.73</v>
      </c>
      <c r="J26" s="5">
        <v>177370.58</v>
      </c>
      <c r="K26" s="5">
        <v>180917.99</v>
      </c>
      <c r="L26" s="5">
        <v>184536.35</v>
      </c>
      <c r="M26" s="5">
        <v>188227.08</v>
      </c>
      <c r="N26" s="5">
        <v>191991.62</v>
      </c>
      <c r="O26" s="5">
        <v>195831.45</v>
      </c>
      <c r="P26" s="5">
        <v>199748.08</v>
      </c>
      <c r="Q26" s="5">
        <v>203743.04</v>
      </c>
      <c r="R26" s="5">
        <v>207817.91</v>
      </c>
      <c r="S26" s="5">
        <v>211974.26</v>
      </c>
      <c r="T26" s="5">
        <v>216213.75</v>
      </c>
      <c r="U26" s="5">
        <v>220538.02</v>
      </c>
      <c r="V26" s="5">
        <v>224948.78</v>
      </c>
      <c r="W26" s="5">
        <v>229447.76</v>
      </c>
      <c r="X26" s="5">
        <v>234036.71</v>
      </c>
      <c r="Y26" s="5">
        <v>238717.45</v>
      </c>
      <c r="Z26" s="5">
        <v>243491.8</v>
      </c>
      <c r="AA26" s="5">
        <v>248361.63</v>
      </c>
      <c r="AB26" s="5">
        <f t="shared" si="0"/>
        <v>2112404.1300000004</v>
      </c>
      <c r="AC26" s="5">
        <f t="shared" si="1"/>
        <v>2679039.19</v>
      </c>
      <c r="AD26" s="5">
        <f t="shared" si="2"/>
        <v>566635.05999999959</v>
      </c>
      <c r="AE26" s="8">
        <f t="shared" si="3"/>
        <v>0.26824178761665246</v>
      </c>
      <c r="AF26" s="8"/>
      <c r="AG26" s="9"/>
    </row>
  </sheetData>
  <autoFilter ref="A1:AE1" xr:uid="{00000000-0001-0000-0000-000000000000}"/>
  <pageMargins left="0.75" right="0.75" top="1" bottom="1" header="0.5" footer="0.5"/>
  <ignoredErrors>
    <ignoredError sqref="AB2:AC2 AB3:AC2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1"/>
  <sheetViews>
    <sheetView workbookViewId="0">
      <selection activeCell="C13" sqref="C13"/>
    </sheetView>
  </sheetViews>
  <sheetFormatPr defaultRowHeight="14.25" x14ac:dyDescent="0.45"/>
  <cols>
    <col min="1" max="1" width="11.6640625" style="1" bestFit="1" customWidth="1"/>
    <col min="2" max="2" width="17.3984375" style="1" bestFit="1" customWidth="1"/>
    <col min="3" max="3" width="21.86328125" style="1" bestFit="1" customWidth="1"/>
    <col min="4" max="4" width="18.59765625" style="5" bestFit="1" customWidth="1"/>
    <col min="5" max="5" width="19.53125" style="5" bestFit="1" customWidth="1"/>
    <col min="6" max="6" width="12.46484375" style="5" bestFit="1" customWidth="1"/>
    <col min="7" max="7" width="18.796875" style="5" bestFit="1" customWidth="1"/>
    <col min="8" max="8" width="20.3984375" style="5" bestFit="1" customWidth="1"/>
    <col min="9" max="9" width="17.796875" style="1" bestFit="1" customWidth="1"/>
    <col min="10" max="16384" width="9.06640625" style="1"/>
  </cols>
  <sheetData>
    <row r="1" spans="1:9" x14ac:dyDescent="0.45">
      <c r="A1" s="2" t="s">
        <v>59</v>
      </c>
      <c r="B1" s="2" t="s">
        <v>0</v>
      </c>
      <c r="C1" s="2" t="s">
        <v>2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2" t="s">
        <v>65</v>
      </c>
    </row>
    <row r="2" spans="1:9" x14ac:dyDescent="0.45">
      <c r="A2" s="1" t="s">
        <v>8</v>
      </c>
      <c r="B2" s="1" t="s">
        <v>54</v>
      </c>
      <c r="C2" s="1" t="s">
        <v>56</v>
      </c>
      <c r="D2" s="5">
        <v>613007.4</v>
      </c>
      <c r="E2" s="5">
        <v>819899.49</v>
      </c>
      <c r="F2" s="5" t="s">
        <v>66</v>
      </c>
      <c r="G2" s="5">
        <v>-206892.09</v>
      </c>
      <c r="H2" s="5">
        <v>-25.233835674175129</v>
      </c>
      <c r="I2" s="1" t="s">
        <v>67</v>
      </c>
    </row>
    <row r="3" spans="1:9" x14ac:dyDescent="0.45">
      <c r="A3" s="1" t="s">
        <v>9</v>
      </c>
      <c r="B3" s="1" t="s">
        <v>54</v>
      </c>
      <c r="C3" s="1" t="s">
        <v>56</v>
      </c>
      <c r="D3" s="5">
        <v>618927.39</v>
      </c>
      <c r="E3" s="5">
        <v>822816.92</v>
      </c>
      <c r="F3" s="5" t="s">
        <v>66</v>
      </c>
      <c r="G3" s="5">
        <v>-203889.53</v>
      </c>
      <c r="H3" s="5">
        <v>-24.77945276088878</v>
      </c>
      <c r="I3" s="1" t="s">
        <v>67</v>
      </c>
    </row>
    <row r="4" spans="1:9" x14ac:dyDescent="0.45">
      <c r="A4" s="1" t="s">
        <v>13</v>
      </c>
      <c r="B4" s="1" t="s">
        <v>54</v>
      </c>
      <c r="C4" s="1" t="s">
        <v>56</v>
      </c>
      <c r="D4" s="5">
        <v>754360.06</v>
      </c>
      <c r="E4" s="5">
        <v>941104.06</v>
      </c>
      <c r="F4" s="5" t="s">
        <v>66</v>
      </c>
      <c r="G4" s="5">
        <v>-186744</v>
      </c>
      <c r="H4" s="5">
        <v>-19.84307665190606</v>
      </c>
      <c r="I4" s="1" t="s">
        <v>67</v>
      </c>
    </row>
    <row r="5" spans="1:9" x14ac:dyDescent="0.45">
      <c r="A5" s="1" t="s">
        <v>10</v>
      </c>
      <c r="B5" s="1" t="s">
        <v>54</v>
      </c>
      <c r="C5" s="1" t="s">
        <v>56</v>
      </c>
      <c r="D5" s="5">
        <v>595373.9</v>
      </c>
      <c r="E5" s="5">
        <v>755175.87</v>
      </c>
      <c r="F5" s="5" t="s">
        <v>66</v>
      </c>
      <c r="G5" s="5">
        <v>-159801.97</v>
      </c>
      <c r="H5" s="5">
        <v>-21.160894613859941</v>
      </c>
      <c r="I5" s="1" t="s">
        <v>67</v>
      </c>
    </row>
    <row r="6" spans="1:9" x14ac:dyDescent="0.45">
      <c r="A6" s="1" t="s">
        <v>7</v>
      </c>
      <c r="B6" s="1" t="s">
        <v>54</v>
      </c>
      <c r="C6" s="1" t="s">
        <v>56</v>
      </c>
      <c r="D6" s="5">
        <v>522599.26</v>
      </c>
      <c r="E6" s="5">
        <v>674325.66</v>
      </c>
      <c r="F6" s="5" t="s">
        <v>66</v>
      </c>
      <c r="G6" s="5">
        <v>-151726.39999999999</v>
      </c>
      <c r="H6" s="5">
        <v>-22.500463648380219</v>
      </c>
      <c r="I6" s="1" t="s">
        <v>67</v>
      </c>
    </row>
    <row r="7" spans="1:9" x14ac:dyDescent="0.45">
      <c r="A7" s="1" t="s">
        <v>14</v>
      </c>
      <c r="B7" s="1" t="s">
        <v>54</v>
      </c>
      <c r="C7" s="1" t="s">
        <v>56</v>
      </c>
      <c r="D7" s="5">
        <v>846171.1</v>
      </c>
      <c r="E7" s="5">
        <v>997883.33</v>
      </c>
      <c r="F7" s="5" t="s">
        <v>66</v>
      </c>
      <c r="G7" s="5">
        <v>-151712.23000000001</v>
      </c>
      <c r="H7" s="5">
        <v>-15.20340358827319</v>
      </c>
      <c r="I7" s="1" t="s">
        <v>67</v>
      </c>
    </row>
    <row r="8" spans="1:9" x14ac:dyDescent="0.45">
      <c r="A8" s="1" t="s">
        <v>6</v>
      </c>
      <c r="B8" s="1" t="s">
        <v>54</v>
      </c>
      <c r="C8" s="1" t="s">
        <v>56</v>
      </c>
      <c r="D8" s="5">
        <v>535838.86</v>
      </c>
      <c r="E8" s="5">
        <v>667673.84</v>
      </c>
      <c r="F8" s="5" t="s">
        <v>66</v>
      </c>
      <c r="G8" s="5">
        <v>-131834.98000000001</v>
      </c>
      <c r="H8" s="5">
        <v>-19.745416414697331</v>
      </c>
      <c r="I8" s="1" t="s">
        <v>67</v>
      </c>
    </row>
    <row r="9" spans="1:9" x14ac:dyDescent="0.45">
      <c r="A9" s="1" t="s">
        <v>12</v>
      </c>
      <c r="B9" s="1" t="s">
        <v>54</v>
      </c>
      <c r="C9" s="1" t="s">
        <v>56</v>
      </c>
      <c r="D9" s="5">
        <v>609979.57999999996</v>
      </c>
      <c r="E9" s="5">
        <v>733873.54</v>
      </c>
      <c r="F9" s="5" t="s">
        <v>66</v>
      </c>
      <c r="G9" s="5">
        <v>-123893.96000000009</v>
      </c>
      <c r="H9" s="5">
        <v>-16.882194717089821</v>
      </c>
      <c r="I9" s="1" t="s">
        <v>67</v>
      </c>
    </row>
    <row r="10" spans="1:9" x14ac:dyDescent="0.45">
      <c r="A10" s="1" t="s">
        <v>13</v>
      </c>
      <c r="B10" s="1" t="s">
        <v>54</v>
      </c>
      <c r="C10" s="1" t="s">
        <v>57</v>
      </c>
      <c r="D10" s="5">
        <v>348166.18</v>
      </c>
      <c r="E10" s="5">
        <v>461001.47</v>
      </c>
      <c r="F10" s="5" t="s">
        <v>66</v>
      </c>
      <c r="G10" s="5">
        <v>-112835.29</v>
      </c>
      <c r="H10" s="5">
        <v>-24.476123687848538</v>
      </c>
      <c r="I10" s="1" t="s">
        <v>67</v>
      </c>
    </row>
    <row r="11" spans="1:9" x14ac:dyDescent="0.45">
      <c r="A11" s="1" t="s">
        <v>5</v>
      </c>
      <c r="B11" s="1" t="s">
        <v>54</v>
      </c>
      <c r="C11" s="1" t="s">
        <v>56</v>
      </c>
      <c r="D11" s="5">
        <v>532268.31999999995</v>
      </c>
      <c r="E11" s="5">
        <v>639083.82999999996</v>
      </c>
      <c r="F11" s="5" t="s">
        <v>66</v>
      </c>
      <c r="G11" s="5">
        <v>-106815.51</v>
      </c>
      <c r="H11" s="5">
        <v>-16.713849574319539</v>
      </c>
      <c r="I11" s="1" t="s">
        <v>67</v>
      </c>
    </row>
    <row r="12" spans="1:9" x14ac:dyDescent="0.45">
      <c r="A12" s="1" t="s">
        <v>11</v>
      </c>
      <c r="B12" s="1" t="s">
        <v>54</v>
      </c>
      <c r="C12" s="1" t="s">
        <v>56</v>
      </c>
      <c r="D12" s="5">
        <v>591753.31000000006</v>
      </c>
      <c r="E12" s="5">
        <v>697312.54</v>
      </c>
      <c r="F12" s="5" t="s">
        <v>66</v>
      </c>
      <c r="G12" s="5">
        <v>-105559.23</v>
      </c>
      <c r="H12" s="5">
        <v>-15.138008273879599</v>
      </c>
      <c r="I12" s="1" t="s">
        <v>67</v>
      </c>
    </row>
    <row r="13" spans="1:9" x14ac:dyDescent="0.45">
      <c r="A13" s="1" t="s">
        <v>9</v>
      </c>
      <c r="B13" s="1" t="s">
        <v>54</v>
      </c>
      <c r="C13" s="1" t="s">
        <v>57</v>
      </c>
      <c r="D13" s="5">
        <v>322918.64</v>
      </c>
      <c r="E13" s="5">
        <v>419651.84000000003</v>
      </c>
      <c r="F13" s="5" t="s">
        <v>66</v>
      </c>
      <c r="G13" s="5">
        <v>-96733.200000000012</v>
      </c>
      <c r="H13" s="5">
        <v>-23.05082231975916</v>
      </c>
      <c r="I13" s="1" t="s">
        <v>67</v>
      </c>
    </row>
    <row r="14" spans="1:9" x14ac:dyDescent="0.45">
      <c r="A14" s="1" t="s">
        <v>11</v>
      </c>
      <c r="B14" s="1" t="s">
        <v>54</v>
      </c>
      <c r="C14" s="1" t="s">
        <v>57</v>
      </c>
      <c r="D14" s="5">
        <v>355051.98</v>
      </c>
      <c r="E14" s="5">
        <v>447811.1</v>
      </c>
      <c r="F14" s="5" t="s">
        <v>66</v>
      </c>
      <c r="G14" s="5">
        <v>-92759.12</v>
      </c>
      <c r="H14" s="5">
        <v>-20.713894765002479</v>
      </c>
      <c r="I14" s="1" t="s">
        <v>67</v>
      </c>
    </row>
    <row r="15" spans="1:9" x14ac:dyDescent="0.45">
      <c r="A15" s="1" t="s">
        <v>13</v>
      </c>
      <c r="B15" s="1" t="s">
        <v>27</v>
      </c>
      <c r="C15" s="1" t="s">
        <v>28</v>
      </c>
      <c r="D15" s="5">
        <v>360988.83</v>
      </c>
      <c r="E15" s="5">
        <v>453436.8</v>
      </c>
      <c r="F15" s="5" t="s">
        <v>66</v>
      </c>
      <c r="G15" s="5">
        <v>-92447.969999999972</v>
      </c>
      <c r="H15" s="5">
        <v>-20.388281233459651</v>
      </c>
      <c r="I15" s="1" t="s">
        <v>68</v>
      </c>
    </row>
    <row r="16" spans="1:9" x14ac:dyDescent="0.45">
      <c r="A16" s="1" t="s">
        <v>14</v>
      </c>
      <c r="B16" s="1" t="s">
        <v>54</v>
      </c>
      <c r="C16" s="1" t="s">
        <v>57</v>
      </c>
      <c r="D16" s="5">
        <v>390540.51</v>
      </c>
      <c r="E16" s="5">
        <v>479583.85</v>
      </c>
      <c r="F16" s="5" t="s">
        <v>66</v>
      </c>
      <c r="G16" s="5">
        <v>-89043.339999999967</v>
      </c>
      <c r="H16" s="5">
        <v>-18.56679285593124</v>
      </c>
      <c r="I16" s="1" t="s">
        <v>67</v>
      </c>
    </row>
    <row r="17" spans="1:9" x14ac:dyDescent="0.45">
      <c r="A17" s="1" t="s">
        <v>6</v>
      </c>
      <c r="B17" s="1" t="s">
        <v>31</v>
      </c>
      <c r="C17" s="1" t="s">
        <v>38</v>
      </c>
      <c r="D17" s="5">
        <v>124250.39</v>
      </c>
      <c r="E17" s="5">
        <v>212835.89</v>
      </c>
      <c r="F17" s="5" t="s">
        <v>66</v>
      </c>
      <c r="G17" s="5">
        <v>-88585.500000000015</v>
      </c>
      <c r="H17" s="5">
        <v>-41.621504718964459</v>
      </c>
      <c r="I17" s="1" t="s">
        <v>68</v>
      </c>
    </row>
    <row r="18" spans="1:9" x14ac:dyDescent="0.45">
      <c r="A18" s="1" t="s">
        <v>3</v>
      </c>
      <c r="B18" s="1" t="s">
        <v>54</v>
      </c>
      <c r="C18" s="1" t="s">
        <v>56</v>
      </c>
      <c r="D18" s="5">
        <v>419667.96</v>
      </c>
      <c r="E18" s="5">
        <v>506907.22</v>
      </c>
      <c r="F18" s="5" t="s">
        <v>66</v>
      </c>
      <c r="G18" s="5">
        <v>-87239.259999999951</v>
      </c>
      <c r="H18" s="5">
        <v>-17.210104050204681</v>
      </c>
      <c r="I18" s="1" t="s">
        <v>67</v>
      </c>
    </row>
    <row r="19" spans="1:9" x14ac:dyDescent="0.45">
      <c r="A19" s="1" t="s">
        <v>12</v>
      </c>
      <c r="B19" s="1" t="s">
        <v>54</v>
      </c>
      <c r="C19" s="1" t="s">
        <v>57</v>
      </c>
      <c r="D19" s="5">
        <v>365987.75</v>
      </c>
      <c r="E19" s="5">
        <v>448818.12</v>
      </c>
      <c r="F19" s="5" t="s">
        <v>66</v>
      </c>
      <c r="G19" s="5">
        <v>-82830.37</v>
      </c>
      <c r="H19" s="5">
        <v>-18.455219677850799</v>
      </c>
      <c r="I19" s="1" t="s">
        <v>67</v>
      </c>
    </row>
    <row r="20" spans="1:9" x14ac:dyDescent="0.45">
      <c r="A20" s="1" t="s">
        <v>10</v>
      </c>
      <c r="B20" s="1" t="s">
        <v>27</v>
      </c>
      <c r="C20" s="1" t="s">
        <v>28</v>
      </c>
      <c r="D20" s="5">
        <v>290547.21000000002</v>
      </c>
      <c r="E20" s="5">
        <v>370862.16</v>
      </c>
      <c r="F20" s="5" t="s">
        <v>66</v>
      </c>
      <c r="G20" s="5">
        <v>-80314.949999999953</v>
      </c>
      <c r="H20" s="5">
        <v>-21.656280597621489</v>
      </c>
      <c r="I20" s="1" t="s">
        <v>68</v>
      </c>
    </row>
    <row r="21" spans="1:9" x14ac:dyDescent="0.45">
      <c r="A21" s="1" t="s">
        <v>9</v>
      </c>
      <c r="B21" s="1" t="s">
        <v>27</v>
      </c>
      <c r="C21" s="1" t="s">
        <v>28</v>
      </c>
      <c r="D21" s="5">
        <v>301351.96000000002</v>
      </c>
      <c r="E21" s="5">
        <v>378679.65</v>
      </c>
      <c r="F21" s="5" t="s">
        <v>66</v>
      </c>
      <c r="G21" s="5">
        <v>-77327.69</v>
      </c>
      <c r="H21" s="5">
        <v>-20.420344742581229</v>
      </c>
      <c r="I21" s="1" t="s">
        <v>68</v>
      </c>
    </row>
    <row r="22" spans="1:9" x14ac:dyDescent="0.45">
      <c r="A22" s="1" t="s">
        <v>8</v>
      </c>
      <c r="B22" s="1" t="s">
        <v>27</v>
      </c>
      <c r="C22" s="1" t="s">
        <v>28</v>
      </c>
      <c r="D22" s="5">
        <v>278811.93</v>
      </c>
      <c r="E22" s="5">
        <v>354554.43</v>
      </c>
      <c r="F22" s="5" t="s">
        <v>66</v>
      </c>
      <c r="G22" s="5">
        <v>-75742.5</v>
      </c>
      <c r="H22" s="5">
        <v>-21.362728425082722</v>
      </c>
      <c r="I22" s="1" t="s">
        <v>68</v>
      </c>
    </row>
    <row r="23" spans="1:9" x14ac:dyDescent="0.45">
      <c r="A23" s="1" t="s">
        <v>26</v>
      </c>
      <c r="B23" s="1" t="s">
        <v>31</v>
      </c>
      <c r="C23" s="1" t="s">
        <v>49</v>
      </c>
      <c r="D23" s="5">
        <v>173031.18</v>
      </c>
      <c r="E23" s="5">
        <v>248475.44</v>
      </c>
      <c r="F23" s="5" t="s">
        <v>66</v>
      </c>
      <c r="G23" s="5">
        <v>-75444.260000000009</v>
      </c>
      <c r="H23" s="5">
        <v>-30.362864031954231</v>
      </c>
      <c r="I23" s="1" t="s">
        <v>68</v>
      </c>
    </row>
    <row r="24" spans="1:9" x14ac:dyDescent="0.45">
      <c r="A24" s="1" t="s">
        <v>12</v>
      </c>
      <c r="B24" s="1" t="s">
        <v>27</v>
      </c>
      <c r="C24" s="1" t="s">
        <v>28</v>
      </c>
      <c r="D24" s="5">
        <v>326249.90999999997</v>
      </c>
      <c r="E24" s="5">
        <v>399772.83</v>
      </c>
      <c r="F24" s="5" t="s">
        <v>66</v>
      </c>
      <c r="G24" s="5">
        <v>-73522.920000000042</v>
      </c>
      <c r="H24" s="5">
        <v>-18.391174807952819</v>
      </c>
      <c r="I24" s="1" t="s">
        <v>68</v>
      </c>
    </row>
    <row r="25" spans="1:9" x14ac:dyDescent="0.45">
      <c r="A25" s="1" t="s">
        <v>4</v>
      </c>
      <c r="B25" s="1" t="s">
        <v>54</v>
      </c>
      <c r="C25" s="1" t="s">
        <v>56</v>
      </c>
      <c r="D25" s="5">
        <v>453038.47</v>
      </c>
      <c r="E25" s="5">
        <v>524819</v>
      </c>
      <c r="F25" s="5" t="s">
        <v>66</v>
      </c>
      <c r="G25" s="5">
        <v>-71780.530000000028</v>
      </c>
      <c r="H25" s="5">
        <v>-13.67719728134843</v>
      </c>
      <c r="I25" s="1" t="s">
        <v>67</v>
      </c>
    </row>
    <row r="26" spans="1:9" x14ac:dyDescent="0.45">
      <c r="A26" s="1" t="s">
        <v>6</v>
      </c>
      <c r="B26" s="1" t="s">
        <v>54</v>
      </c>
      <c r="C26" s="1" t="s">
        <v>57</v>
      </c>
      <c r="D26" s="5">
        <v>321503.32</v>
      </c>
      <c r="E26" s="5">
        <v>392312.81</v>
      </c>
      <c r="F26" s="5" t="s">
        <v>66</v>
      </c>
      <c r="G26" s="5">
        <v>-70809.489999999991</v>
      </c>
      <c r="H26" s="5">
        <v>-18.04924238900076</v>
      </c>
      <c r="I26" s="1" t="s">
        <v>67</v>
      </c>
    </row>
    <row r="27" spans="1:9" x14ac:dyDescent="0.45">
      <c r="A27" s="1" t="s">
        <v>8</v>
      </c>
      <c r="B27" s="1" t="s">
        <v>54</v>
      </c>
      <c r="C27" s="1" t="s">
        <v>57</v>
      </c>
      <c r="D27" s="5">
        <v>319829.95</v>
      </c>
      <c r="E27" s="5">
        <v>390008.74</v>
      </c>
      <c r="F27" s="5" t="s">
        <v>66</v>
      </c>
      <c r="G27" s="5">
        <v>-70178.789999999979</v>
      </c>
      <c r="H27" s="5">
        <v>-17.994158284760491</v>
      </c>
      <c r="I27" s="1" t="s">
        <v>67</v>
      </c>
    </row>
    <row r="28" spans="1:9" x14ac:dyDescent="0.45">
      <c r="A28" s="1" t="s">
        <v>22</v>
      </c>
      <c r="B28" s="1" t="s">
        <v>31</v>
      </c>
      <c r="C28" s="1" t="s">
        <v>44</v>
      </c>
      <c r="D28" s="5">
        <v>113408.89</v>
      </c>
      <c r="E28" s="5">
        <v>182736.14</v>
      </c>
      <c r="F28" s="5" t="s">
        <v>66</v>
      </c>
      <c r="G28" s="5">
        <v>-69327.250000000015</v>
      </c>
      <c r="H28" s="5">
        <v>-37.938445016951768</v>
      </c>
      <c r="I28" s="1" t="s">
        <v>68</v>
      </c>
    </row>
    <row r="29" spans="1:9" x14ac:dyDescent="0.45">
      <c r="A29" s="1" t="s">
        <v>24</v>
      </c>
      <c r="B29" s="1" t="s">
        <v>54</v>
      </c>
      <c r="C29" s="1" t="s">
        <v>56</v>
      </c>
      <c r="D29" s="5">
        <v>730512.82</v>
      </c>
      <c r="E29" s="5">
        <v>671778.36</v>
      </c>
      <c r="F29" s="5" t="s">
        <v>66</v>
      </c>
      <c r="G29" s="5">
        <v>58734.459999999963</v>
      </c>
      <c r="H29" s="5">
        <v>8.7431306956657497</v>
      </c>
      <c r="I29" s="1" t="s">
        <v>68</v>
      </c>
    </row>
    <row r="30" spans="1:9" x14ac:dyDescent="0.45">
      <c r="A30" s="1" t="s">
        <v>25</v>
      </c>
      <c r="B30" s="1" t="s">
        <v>54</v>
      </c>
      <c r="C30" s="1" t="s">
        <v>56</v>
      </c>
      <c r="D30" s="5">
        <v>983999.68</v>
      </c>
      <c r="E30" s="5">
        <v>926636.46</v>
      </c>
      <c r="F30" s="5" t="s">
        <v>66</v>
      </c>
      <c r="G30" s="5">
        <v>57363.220000000088</v>
      </c>
      <c r="H30" s="5">
        <v>6.1904773313150327</v>
      </c>
      <c r="I30" s="1" t="s">
        <v>68</v>
      </c>
    </row>
    <row r="31" spans="1:9" x14ac:dyDescent="0.45">
      <c r="A31" s="1" t="s">
        <v>3</v>
      </c>
      <c r="B31" s="1" t="s">
        <v>54</v>
      </c>
      <c r="C31" s="1" t="s">
        <v>57</v>
      </c>
      <c r="D31" s="5">
        <v>296236.2</v>
      </c>
      <c r="E31" s="5">
        <v>351382.15</v>
      </c>
      <c r="F31" s="5" t="s">
        <v>66</v>
      </c>
      <c r="G31" s="5">
        <v>-55145.950000000012</v>
      </c>
      <c r="H31" s="5">
        <v>-15.69401006852511</v>
      </c>
      <c r="I31" s="1" t="s">
        <v>67</v>
      </c>
    </row>
    <row r="32" spans="1:9" x14ac:dyDescent="0.45">
      <c r="A32" s="1" t="s">
        <v>3</v>
      </c>
      <c r="B32" s="1" t="s">
        <v>27</v>
      </c>
      <c r="C32" s="1" t="s">
        <v>28</v>
      </c>
      <c r="D32" s="5">
        <v>234091.97</v>
      </c>
      <c r="E32" s="5">
        <v>288125.82</v>
      </c>
      <c r="F32" s="5" t="s">
        <v>66</v>
      </c>
      <c r="G32" s="5">
        <v>-54033.850000000013</v>
      </c>
      <c r="H32" s="5">
        <v>-18.753560510474209</v>
      </c>
      <c r="I32" s="1" t="s">
        <v>68</v>
      </c>
    </row>
    <row r="33" spans="1:9" x14ac:dyDescent="0.45">
      <c r="A33" s="1" t="s">
        <v>11</v>
      </c>
      <c r="B33" s="1" t="s">
        <v>27</v>
      </c>
      <c r="C33" s="1" t="s">
        <v>28</v>
      </c>
      <c r="D33" s="5">
        <v>285949.76</v>
      </c>
      <c r="E33" s="5">
        <v>337670.78</v>
      </c>
      <c r="F33" s="5" t="s">
        <v>66</v>
      </c>
      <c r="G33" s="5">
        <v>-51721.020000000019</v>
      </c>
      <c r="H33" s="5">
        <v>-15.316996039752089</v>
      </c>
      <c r="I33" s="1" t="s">
        <v>68</v>
      </c>
    </row>
    <row r="34" spans="1:9" x14ac:dyDescent="0.45">
      <c r="A34" s="1" t="s">
        <v>14</v>
      </c>
      <c r="B34" s="1" t="s">
        <v>54</v>
      </c>
      <c r="C34" s="1" t="s">
        <v>58</v>
      </c>
      <c r="D34" s="5">
        <v>195831.45</v>
      </c>
      <c r="E34" s="5">
        <v>245443.11</v>
      </c>
      <c r="F34" s="5" t="s">
        <v>66</v>
      </c>
      <c r="G34" s="5">
        <v>-49611.659999999967</v>
      </c>
      <c r="H34" s="5">
        <v>-20.213099483623711</v>
      </c>
      <c r="I34" s="1" t="s">
        <v>67</v>
      </c>
    </row>
    <row r="35" spans="1:9" x14ac:dyDescent="0.45">
      <c r="A35" s="1" t="s">
        <v>5</v>
      </c>
      <c r="B35" s="1" t="s">
        <v>54</v>
      </c>
      <c r="C35" s="1" t="s">
        <v>57</v>
      </c>
      <c r="D35" s="5">
        <v>319360.99</v>
      </c>
      <c r="E35" s="5">
        <v>368920.56</v>
      </c>
      <c r="F35" s="5" t="s">
        <v>66</v>
      </c>
      <c r="G35" s="5">
        <v>-49559.570000000007</v>
      </c>
      <c r="H35" s="5">
        <v>-13.43366983938223</v>
      </c>
      <c r="I35" s="1" t="s">
        <v>67</v>
      </c>
    </row>
    <row r="36" spans="1:9" x14ac:dyDescent="0.45">
      <c r="A36" s="1" t="s">
        <v>4</v>
      </c>
      <c r="B36" s="1" t="s">
        <v>54</v>
      </c>
      <c r="C36" s="1" t="s">
        <v>57</v>
      </c>
      <c r="D36" s="5">
        <v>319791.86</v>
      </c>
      <c r="E36" s="5">
        <v>368505.49</v>
      </c>
      <c r="F36" s="5" t="s">
        <v>66</v>
      </c>
      <c r="G36" s="5">
        <v>-48713.63</v>
      </c>
      <c r="H36" s="5">
        <v>-13.21924131985117</v>
      </c>
      <c r="I36" s="1" t="s">
        <v>67</v>
      </c>
    </row>
    <row r="37" spans="1:9" x14ac:dyDescent="0.45">
      <c r="A37" s="1" t="s">
        <v>14</v>
      </c>
      <c r="B37" s="1" t="s">
        <v>27</v>
      </c>
      <c r="C37" s="1" t="s">
        <v>29</v>
      </c>
      <c r="D37" s="5">
        <v>196192.86</v>
      </c>
      <c r="E37" s="5">
        <v>244263.32</v>
      </c>
      <c r="F37" s="5" t="s">
        <v>66</v>
      </c>
      <c r="G37" s="5">
        <v>-48070.460000000021</v>
      </c>
      <c r="H37" s="5">
        <v>-19.679770175890521</v>
      </c>
      <c r="I37" s="1" t="s">
        <v>68</v>
      </c>
    </row>
    <row r="38" spans="1:9" x14ac:dyDescent="0.45">
      <c r="A38" s="1" t="s">
        <v>14</v>
      </c>
      <c r="B38" s="1" t="s">
        <v>27</v>
      </c>
      <c r="C38" s="1" t="s">
        <v>28</v>
      </c>
      <c r="D38" s="5">
        <v>392385.72</v>
      </c>
      <c r="E38" s="5">
        <v>440310.3</v>
      </c>
      <c r="F38" s="5" t="s">
        <v>66</v>
      </c>
      <c r="G38" s="5">
        <v>-47924.580000000024</v>
      </c>
      <c r="H38" s="5">
        <v>-10.88427411305164</v>
      </c>
      <c r="I38" s="1" t="s">
        <v>68</v>
      </c>
    </row>
    <row r="39" spans="1:9" x14ac:dyDescent="0.45">
      <c r="A39" s="1" t="s">
        <v>3</v>
      </c>
      <c r="B39" s="1" t="s">
        <v>31</v>
      </c>
      <c r="C39" s="1" t="s">
        <v>52</v>
      </c>
      <c r="D39" s="5">
        <v>92450.2</v>
      </c>
      <c r="E39" s="5">
        <v>140301.15</v>
      </c>
      <c r="F39" s="5" t="s">
        <v>66</v>
      </c>
      <c r="G39" s="5">
        <v>-47850.95</v>
      </c>
      <c r="H39" s="5">
        <v>-34.10588580350197</v>
      </c>
      <c r="I39" s="1" t="s">
        <v>68</v>
      </c>
    </row>
    <row r="40" spans="1:9" x14ac:dyDescent="0.45">
      <c r="A40" s="1" t="s">
        <v>8</v>
      </c>
      <c r="B40" s="1" t="s">
        <v>54</v>
      </c>
      <c r="C40" s="1" t="s">
        <v>58</v>
      </c>
      <c r="D40" s="5">
        <v>173892.73</v>
      </c>
      <c r="E40" s="5">
        <v>220552.3</v>
      </c>
      <c r="F40" s="5" t="s">
        <v>66</v>
      </c>
      <c r="G40" s="5">
        <v>-46659.569999999978</v>
      </c>
      <c r="H40" s="5">
        <v>-21.15578481838547</v>
      </c>
      <c r="I40" s="1" t="s">
        <v>67</v>
      </c>
    </row>
    <row r="41" spans="1:9" x14ac:dyDescent="0.45">
      <c r="A41" s="1" t="s">
        <v>7</v>
      </c>
      <c r="B41" s="1" t="s">
        <v>54</v>
      </c>
      <c r="C41" s="1" t="s">
        <v>57</v>
      </c>
      <c r="D41" s="5">
        <v>313559.55</v>
      </c>
      <c r="E41" s="5">
        <v>359860.52</v>
      </c>
      <c r="F41" s="5" t="s">
        <v>66</v>
      </c>
      <c r="G41" s="5">
        <v>-46300.97000000003</v>
      </c>
      <c r="H41" s="5">
        <v>-12.866365557410971</v>
      </c>
      <c r="I41" s="1" t="s">
        <v>67</v>
      </c>
    </row>
    <row r="42" spans="1:9" x14ac:dyDescent="0.45">
      <c r="A42" s="1" t="s">
        <v>10</v>
      </c>
      <c r="B42" s="1" t="s">
        <v>54</v>
      </c>
      <c r="C42" s="1" t="s">
        <v>57</v>
      </c>
      <c r="D42" s="5">
        <v>357224.34</v>
      </c>
      <c r="E42" s="5">
        <v>402342.27</v>
      </c>
      <c r="F42" s="5" t="s">
        <v>66</v>
      </c>
      <c r="G42" s="5">
        <v>-45117.929999999993</v>
      </c>
      <c r="H42" s="5">
        <v>-11.213818026129839</v>
      </c>
      <c r="I42" s="1" t="s">
        <v>67</v>
      </c>
    </row>
    <row r="43" spans="1:9" x14ac:dyDescent="0.45">
      <c r="A43" s="1" t="s">
        <v>14</v>
      </c>
      <c r="B43" s="1" t="s">
        <v>31</v>
      </c>
      <c r="C43" s="1" t="s">
        <v>38</v>
      </c>
      <c r="D43" s="5">
        <v>130192.88</v>
      </c>
      <c r="E43" s="5">
        <v>175286.41</v>
      </c>
      <c r="F43" s="5" t="s">
        <v>66</v>
      </c>
      <c r="G43" s="5">
        <v>-45093.53</v>
      </c>
      <c r="H43" s="5">
        <v>-25.72562813055502</v>
      </c>
      <c r="I43" s="1" t="s">
        <v>68</v>
      </c>
    </row>
    <row r="44" spans="1:9" x14ac:dyDescent="0.45">
      <c r="A44" s="1" t="s">
        <v>20</v>
      </c>
      <c r="B44" s="1" t="s">
        <v>54</v>
      </c>
      <c r="C44" s="1" t="s">
        <v>56</v>
      </c>
      <c r="D44" s="5">
        <v>807132.05</v>
      </c>
      <c r="E44" s="5">
        <v>762721.65</v>
      </c>
      <c r="F44" s="5" t="s">
        <v>66</v>
      </c>
      <c r="G44" s="5">
        <v>44410.400000000023</v>
      </c>
      <c r="H44" s="5">
        <v>5.8226221846462627</v>
      </c>
      <c r="I44" s="1" t="s">
        <v>68</v>
      </c>
    </row>
    <row r="45" spans="1:9" x14ac:dyDescent="0.45">
      <c r="A45" s="1" t="s">
        <v>3</v>
      </c>
      <c r="B45" s="1" t="s">
        <v>54</v>
      </c>
      <c r="C45" s="1" t="s">
        <v>58</v>
      </c>
      <c r="D45" s="5">
        <v>157500</v>
      </c>
      <c r="E45" s="5">
        <v>201666.81</v>
      </c>
      <c r="F45" s="5" t="s">
        <v>66</v>
      </c>
      <c r="G45" s="5">
        <v>-44166.81</v>
      </c>
      <c r="H45" s="5">
        <v>-21.90088195474506</v>
      </c>
      <c r="I45" s="1" t="s">
        <v>67</v>
      </c>
    </row>
    <row r="46" spans="1:9" x14ac:dyDescent="0.45">
      <c r="A46" s="1" t="s">
        <v>5</v>
      </c>
      <c r="B46" s="1" t="s">
        <v>54</v>
      </c>
      <c r="C46" s="1" t="s">
        <v>58</v>
      </c>
      <c r="D46" s="5">
        <v>163863</v>
      </c>
      <c r="E46" s="5">
        <v>207940.36</v>
      </c>
      <c r="F46" s="5" t="s">
        <v>66</v>
      </c>
      <c r="G46" s="5">
        <v>-44077.359999999993</v>
      </c>
      <c r="H46" s="5">
        <v>-21.19711632700837</v>
      </c>
      <c r="I46" s="1" t="s">
        <v>67</v>
      </c>
    </row>
    <row r="47" spans="1:9" x14ac:dyDescent="0.45">
      <c r="A47" s="1" t="s">
        <v>18</v>
      </c>
      <c r="B47" s="1" t="s">
        <v>31</v>
      </c>
      <c r="C47" s="1" t="s">
        <v>38</v>
      </c>
      <c r="D47" s="5">
        <v>248092.05</v>
      </c>
      <c r="E47" s="5">
        <v>204576.76</v>
      </c>
      <c r="F47" s="5" t="s">
        <v>66</v>
      </c>
      <c r="G47" s="5">
        <v>43515.289999999979</v>
      </c>
      <c r="H47" s="5">
        <v>21.27088629226505</v>
      </c>
      <c r="I47" s="1" t="s">
        <v>67</v>
      </c>
    </row>
    <row r="48" spans="1:9" x14ac:dyDescent="0.45">
      <c r="A48" s="1" t="s">
        <v>21</v>
      </c>
      <c r="B48" s="1" t="s">
        <v>54</v>
      </c>
      <c r="C48" s="1" t="s">
        <v>57</v>
      </c>
      <c r="D48" s="5">
        <v>425557.9</v>
      </c>
      <c r="E48" s="5">
        <v>382941.18</v>
      </c>
      <c r="F48" s="5" t="s">
        <v>66</v>
      </c>
      <c r="G48" s="5">
        <v>42616.72000000003</v>
      </c>
      <c r="H48" s="5">
        <v>11.128790066401329</v>
      </c>
      <c r="I48" s="1" t="s">
        <v>68</v>
      </c>
    </row>
    <row r="49" spans="1:9" x14ac:dyDescent="0.45">
      <c r="A49" s="1" t="s">
        <v>6</v>
      </c>
      <c r="B49" s="1" t="s">
        <v>54</v>
      </c>
      <c r="C49" s="1" t="s">
        <v>58</v>
      </c>
      <c r="D49" s="5">
        <v>167140.26</v>
      </c>
      <c r="E49" s="5">
        <v>209751.47</v>
      </c>
      <c r="F49" s="5" t="s">
        <v>66</v>
      </c>
      <c r="G49" s="5">
        <v>-42611.209999999992</v>
      </c>
      <c r="H49" s="5">
        <v>-20.315094811969612</v>
      </c>
      <c r="I49" s="1" t="s">
        <v>67</v>
      </c>
    </row>
    <row r="50" spans="1:9" x14ac:dyDescent="0.45">
      <c r="A50" s="1" t="s">
        <v>8</v>
      </c>
      <c r="B50" s="1" t="s">
        <v>27</v>
      </c>
      <c r="C50" s="1" t="s">
        <v>29</v>
      </c>
      <c r="D50" s="5">
        <v>139405.97</v>
      </c>
      <c r="E50" s="5">
        <v>181118.49</v>
      </c>
      <c r="F50" s="5" t="s">
        <v>66</v>
      </c>
      <c r="G50" s="5">
        <v>-41712.51999999999</v>
      </c>
      <c r="H50" s="5">
        <v>-23.030514443886979</v>
      </c>
      <c r="I50" s="1" t="s">
        <v>68</v>
      </c>
    </row>
    <row r="51" spans="1:9" x14ac:dyDescent="0.45">
      <c r="A51" s="1" t="s">
        <v>12</v>
      </c>
      <c r="B51" s="1" t="s">
        <v>31</v>
      </c>
      <c r="C51" s="1" t="s">
        <v>47</v>
      </c>
      <c r="D51" s="5">
        <v>91254.94</v>
      </c>
      <c r="E51" s="5">
        <v>132440.76</v>
      </c>
      <c r="F51" s="5" t="s">
        <v>66</v>
      </c>
      <c r="G51" s="5">
        <v>-41185.820000000007</v>
      </c>
      <c r="H51" s="5">
        <v>-31.097541270527291</v>
      </c>
      <c r="I51" s="1" t="s">
        <v>68</v>
      </c>
    </row>
    <row r="52" spans="1:9" x14ac:dyDescent="0.45">
      <c r="A52" s="1" t="s">
        <v>11</v>
      </c>
      <c r="B52" s="1" t="s">
        <v>54</v>
      </c>
      <c r="C52" s="1" t="s">
        <v>58</v>
      </c>
      <c r="D52" s="5">
        <v>184536.35</v>
      </c>
      <c r="E52" s="5">
        <v>225108.68</v>
      </c>
      <c r="F52" s="5" t="s">
        <v>66</v>
      </c>
      <c r="G52" s="5">
        <v>-40572.329999999987</v>
      </c>
      <c r="H52" s="5">
        <v>-18.023440944169721</v>
      </c>
      <c r="I52" s="1" t="s">
        <v>67</v>
      </c>
    </row>
    <row r="53" spans="1:9" x14ac:dyDescent="0.45">
      <c r="A53" s="1" t="s">
        <v>7</v>
      </c>
      <c r="B53" s="1" t="s">
        <v>54</v>
      </c>
      <c r="C53" s="1" t="s">
        <v>58</v>
      </c>
      <c r="D53" s="5">
        <v>170483.07</v>
      </c>
      <c r="E53" s="5">
        <v>211022.87</v>
      </c>
      <c r="F53" s="5" t="s">
        <v>66</v>
      </c>
      <c r="G53" s="5">
        <v>-40539.799999999988</v>
      </c>
      <c r="H53" s="5">
        <v>-19.21109309147392</v>
      </c>
      <c r="I53" s="1" t="s">
        <v>67</v>
      </c>
    </row>
    <row r="54" spans="1:9" x14ac:dyDescent="0.45">
      <c r="A54" s="1" t="s">
        <v>9</v>
      </c>
      <c r="B54" s="1" t="s">
        <v>27</v>
      </c>
      <c r="C54" s="1" t="s">
        <v>29</v>
      </c>
      <c r="D54" s="5">
        <v>150675.98000000001</v>
      </c>
      <c r="E54" s="5">
        <v>191062.3</v>
      </c>
      <c r="F54" s="5" t="s">
        <v>66</v>
      </c>
      <c r="G54" s="5">
        <v>-40386.319999999978</v>
      </c>
      <c r="H54" s="5">
        <v>-21.13777547951636</v>
      </c>
      <c r="I54" s="1" t="s">
        <v>68</v>
      </c>
    </row>
    <row r="55" spans="1:9" x14ac:dyDescent="0.45">
      <c r="A55" s="1" t="s">
        <v>26</v>
      </c>
      <c r="B55" s="1" t="s">
        <v>31</v>
      </c>
      <c r="C55" s="1" t="s">
        <v>38</v>
      </c>
      <c r="D55" s="5">
        <v>209420.22</v>
      </c>
      <c r="E55" s="5">
        <v>169584.3</v>
      </c>
      <c r="F55" s="5" t="s">
        <v>66</v>
      </c>
      <c r="G55" s="5">
        <v>39835.920000000013</v>
      </c>
      <c r="H55" s="5">
        <v>23.490334895388319</v>
      </c>
      <c r="I55" s="1" t="s">
        <v>67</v>
      </c>
    </row>
    <row r="56" spans="1:9" x14ac:dyDescent="0.45">
      <c r="A56" s="1" t="s">
        <v>6</v>
      </c>
      <c r="B56" s="1" t="s">
        <v>27</v>
      </c>
      <c r="C56" s="1" t="s">
        <v>28</v>
      </c>
      <c r="D56" s="5">
        <v>274577.86</v>
      </c>
      <c r="E56" s="5">
        <v>313381.21000000002</v>
      </c>
      <c r="F56" s="5" t="s">
        <v>66</v>
      </c>
      <c r="G56" s="5">
        <v>-38803.350000000028</v>
      </c>
      <c r="H56" s="5">
        <v>-12.38215590526312</v>
      </c>
      <c r="I56" s="1" t="s">
        <v>68</v>
      </c>
    </row>
    <row r="57" spans="1:9" x14ac:dyDescent="0.45">
      <c r="A57" s="1" t="s">
        <v>15</v>
      </c>
      <c r="B57" s="1" t="s">
        <v>54</v>
      </c>
      <c r="C57" s="1" t="s">
        <v>56</v>
      </c>
      <c r="D57" s="5">
        <v>556921.51</v>
      </c>
      <c r="E57" s="5">
        <v>518554.41</v>
      </c>
      <c r="F57" s="5" t="s">
        <v>66</v>
      </c>
      <c r="G57" s="5">
        <v>38367.100000000028</v>
      </c>
      <c r="H57" s="5">
        <v>7.3988571421078149</v>
      </c>
      <c r="I57" s="1" t="s">
        <v>68</v>
      </c>
    </row>
    <row r="58" spans="1:9" x14ac:dyDescent="0.45">
      <c r="A58" s="1" t="s">
        <v>5</v>
      </c>
      <c r="B58" s="1" t="s">
        <v>27</v>
      </c>
      <c r="C58" s="1" t="s">
        <v>28</v>
      </c>
      <c r="D58" s="5">
        <v>262386.02</v>
      </c>
      <c r="E58" s="5">
        <v>300477.71999999997</v>
      </c>
      <c r="F58" s="5" t="s">
        <v>66</v>
      </c>
      <c r="G58" s="5">
        <v>-38091.699999999953</v>
      </c>
      <c r="H58" s="5">
        <v>-12.67704640463857</v>
      </c>
      <c r="I58" s="1" t="s">
        <v>68</v>
      </c>
    </row>
    <row r="59" spans="1:9" x14ac:dyDescent="0.45">
      <c r="A59" s="1" t="s">
        <v>20</v>
      </c>
      <c r="B59" s="1" t="s">
        <v>27</v>
      </c>
      <c r="C59" s="1" t="s">
        <v>28</v>
      </c>
      <c r="D59" s="5">
        <v>382004.21</v>
      </c>
      <c r="E59" s="5">
        <v>343987.97</v>
      </c>
      <c r="F59" s="5" t="s">
        <v>66</v>
      </c>
      <c r="G59" s="5">
        <v>38016.240000000049</v>
      </c>
      <c r="H59" s="5">
        <v>11.05161904353808</v>
      </c>
      <c r="I59" s="1" t="s">
        <v>67</v>
      </c>
    </row>
    <row r="60" spans="1:9" x14ac:dyDescent="0.45">
      <c r="A60" s="1" t="s">
        <v>11</v>
      </c>
      <c r="B60" s="1" t="s">
        <v>27</v>
      </c>
      <c r="C60" s="1" t="s">
        <v>29</v>
      </c>
      <c r="D60" s="5">
        <v>142974.88</v>
      </c>
      <c r="E60" s="5">
        <v>180765.4</v>
      </c>
      <c r="F60" s="5" t="s">
        <v>66</v>
      </c>
      <c r="G60" s="5">
        <v>-37790.51999999999</v>
      </c>
      <c r="H60" s="5">
        <v>-20.905837068377021</v>
      </c>
      <c r="I60" s="1" t="s">
        <v>68</v>
      </c>
    </row>
    <row r="61" spans="1:9" x14ac:dyDescent="0.45">
      <c r="A61" s="1" t="s">
        <v>13</v>
      </c>
      <c r="B61" s="1" t="s">
        <v>54</v>
      </c>
      <c r="C61" s="1" t="s">
        <v>58</v>
      </c>
      <c r="D61" s="5">
        <v>191991.62</v>
      </c>
      <c r="E61" s="5">
        <v>228921.63</v>
      </c>
      <c r="F61" s="5" t="s">
        <v>66</v>
      </c>
      <c r="G61" s="5">
        <v>-36930.010000000009</v>
      </c>
      <c r="H61" s="5">
        <v>-16.132162784268139</v>
      </c>
      <c r="I61" s="1" t="s">
        <v>67</v>
      </c>
    </row>
    <row r="62" spans="1:9" x14ac:dyDescent="0.45">
      <c r="A62" s="1" t="s">
        <v>10</v>
      </c>
      <c r="B62" s="1" t="s">
        <v>54</v>
      </c>
      <c r="C62" s="1" t="s">
        <v>58</v>
      </c>
      <c r="D62" s="5">
        <v>180917.99</v>
      </c>
      <c r="E62" s="5">
        <v>217474.99</v>
      </c>
      <c r="F62" s="5" t="s">
        <v>66</v>
      </c>
      <c r="G62" s="5">
        <v>-36557</v>
      </c>
      <c r="H62" s="5">
        <v>-16.809749019875799</v>
      </c>
      <c r="I62" s="1" t="s">
        <v>67</v>
      </c>
    </row>
    <row r="63" spans="1:9" x14ac:dyDescent="0.45">
      <c r="A63" s="1" t="s">
        <v>4</v>
      </c>
      <c r="B63" s="1" t="s">
        <v>54</v>
      </c>
      <c r="C63" s="1" t="s">
        <v>58</v>
      </c>
      <c r="D63" s="5">
        <v>160650</v>
      </c>
      <c r="E63" s="5">
        <v>196631.87</v>
      </c>
      <c r="F63" s="5" t="s">
        <v>66</v>
      </c>
      <c r="G63" s="5">
        <v>-35981.870000000003</v>
      </c>
      <c r="H63" s="5">
        <v>-18.299103802450741</v>
      </c>
      <c r="I63" s="1" t="s">
        <v>67</v>
      </c>
    </row>
    <row r="64" spans="1:9" x14ac:dyDescent="0.45">
      <c r="A64" s="1" t="s">
        <v>25</v>
      </c>
      <c r="B64" s="1" t="s">
        <v>27</v>
      </c>
      <c r="C64" s="1" t="s">
        <v>28</v>
      </c>
      <c r="D64" s="5">
        <v>431528.89</v>
      </c>
      <c r="E64" s="5">
        <v>395627.62</v>
      </c>
      <c r="F64" s="5" t="s">
        <v>66</v>
      </c>
      <c r="G64" s="5">
        <v>35901.270000000019</v>
      </c>
      <c r="H64" s="5">
        <v>9.0745105207770926</v>
      </c>
      <c r="I64" s="1" t="s">
        <v>67</v>
      </c>
    </row>
    <row r="65" spans="1:9" x14ac:dyDescent="0.45">
      <c r="A65" s="1" t="s">
        <v>17</v>
      </c>
      <c r="B65" s="1" t="s">
        <v>27</v>
      </c>
      <c r="C65" s="1" t="s">
        <v>28</v>
      </c>
      <c r="D65" s="5">
        <v>333011.86</v>
      </c>
      <c r="E65" s="5">
        <v>297412.82</v>
      </c>
      <c r="F65" s="5" t="s">
        <v>66</v>
      </c>
      <c r="G65" s="5">
        <v>35599.039999999979</v>
      </c>
      <c r="H65" s="5">
        <v>11.969571452905081</v>
      </c>
      <c r="I65" s="1" t="s">
        <v>67</v>
      </c>
    </row>
    <row r="66" spans="1:9" x14ac:dyDescent="0.45">
      <c r="A66" s="1" t="s">
        <v>14</v>
      </c>
      <c r="B66" s="1" t="s">
        <v>31</v>
      </c>
      <c r="C66" s="1" t="s">
        <v>49</v>
      </c>
      <c r="D66" s="5">
        <v>274428.67</v>
      </c>
      <c r="E66" s="5">
        <v>239076.33</v>
      </c>
      <c r="F66" s="5" t="s">
        <v>66</v>
      </c>
      <c r="G66" s="5">
        <v>35352.339999999997</v>
      </c>
      <c r="H66" s="5">
        <v>14.787051482679191</v>
      </c>
      <c r="I66" s="1" t="s">
        <v>67</v>
      </c>
    </row>
    <row r="67" spans="1:9" x14ac:dyDescent="0.45">
      <c r="A67" s="1" t="s">
        <v>20</v>
      </c>
      <c r="B67" s="1" t="s">
        <v>31</v>
      </c>
      <c r="C67" s="1" t="s">
        <v>48</v>
      </c>
      <c r="D67" s="5">
        <v>129013.59</v>
      </c>
      <c r="E67" s="5">
        <v>164265.01</v>
      </c>
      <c r="F67" s="5" t="s">
        <v>66</v>
      </c>
      <c r="G67" s="5">
        <v>-35251.420000000013</v>
      </c>
      <c r="H67" s="5">
        <v>-21.460090618202869</v>
      </c>
      <c r="I67" s="1" t="s">
        <v>68</v>
      </c>
    </row>
    <row r="68" spans="1:9" x14ac:dyDescent="0.45">
      <c r="A68" s="1" t="s">
        <v>5</v>
      </c>
      <c r="B68" s="1" t="s">
        <v>27</v>
      </c>
      <c r="C68" s="1" t="s">
        <v>29</v>
      </c>
      <c r="D68" s="5">
        <v>131193.01</v>
      </c>
      <c r="E68" s="5">
        <v>165548.85</v>
      </c>
      <c r="F68" s="5" t="s">
        <v>66</v>
      </c>
      <c r="G68" s="5">
        <v>-34355.839999999997</v>
      </c>
      <c r="H68" s="5">
        <v>-20.752690218023261</v>
      </c>
      <c r="I68" s="1" t="s">
        <v>68</v>
      </c>
    </row>
    <row r="69" spans="1:9" x14ac:dyDescent="0.45">
      <c r="A69" s="1" t="s">
        <v>21</v>
      </c>
      <c r="B69" s="1" t="s">
        <v>54</v>
      </c>
      <c r="C69" s="1" t="s">
        <v>56</v>
      </c>
      <c r="D69" s="5">
        <v>815652.63</v>
      </c>
      <c r="E69" s="5">
        <v>782484.33</v>
      </c>
      <c r="F69" s="5" t="s">
        <v>66</v>
      </c>
      <c r="G69" s="5">
        <v>33168.300000000047</v>
      </c>
      <c r="H69" s="5">
        <v>4.2388452686330531</v>
      </c>
      <c r="I69" s="1" t="s">
        <v>68</v>
      </c>
    </row>
    <row r="70" spans="1:9" x14ac:dyDescent="0.45">
      <c r="A70" s="1" t="s">
        <v>24</v>
      </c>
      <c r="B70" s="1" t="s">
        <v>31</v>
      </c>
      <c r="C70" s="1" t="s">
        <v>47</v>
      </c>
      <c r="D70" s="5">
        <v>160945.63</v>
      </c>
      <c r="E70" s="5">
        <v>127902.06</v>
      </c>
      <c r="F70" s="5" t="s">
        <v>66</v>
      </c>
      <c r="G70" s="5">
        <v>33043.570000000007</v>
      </c>
      <c r="H70" s="5">
        <v>25.835056917769741</v>
      </c>
      <c r="I70" s="1" t="s">
        <v>67</v>
      </c>
    </row>
    <row r="71" spans="1:9" x14ac:dyDescent="0.45">
      <c r="A71" s="1" t="s">
        <v>7</v>
      </c>
      <c r="B71" s="1" t="s">
        <v>27</v>
      </c>
      <c r="C71" s="1" t="s">
        <v>28</v>
      </c>
      <c r="D71" s="5">
        <v>271929.81</v>
      </c>
      <c r="E71" s="5">
        <v>304395.09000000003</v>
      </c>
      <c r="F71" s="5" t="s">
        <v>66</v>
      </c>
      <c r="G71" s="5">
        <v>-32465.280000000032</v>
      </c>
      <c r="H71" s="5">
        <v>-10.665507121024859</v>
      </c>
      <c r="I71" s="1" t="s">
        <v>68</v>
      </c>
    </row>
    <row r="72" spans="1:9" x14ac:dyDescent="0.45">
      <c r="A72" s="1" t="s">
        <v>15</v>
      </c>
      <c r="B72" s="1" t="s">
        <v>27</v>
      </c>
      <c r="C72" s="1" t="s">
        <v>28</v>
      </c>
      <c r="D72" s="5">
        <v>299328.06</v>
      </c>
      <c r="E72" s="5">
        <v>267351.08</v>
      </c>
      <c r="F72" s="5" t="s">
        <v>66</v>
      </c>
      <c r="G72" s="5">
        <v>31976.979999999981</v>
      </c>
      <c r="H72" s="5">
        <v>11.960669842814919</v>
      </c>
      <c r="I72" s="1" t="s">
        <v>67</v>
      </c>
    </row>
    <row r="73" spans="1:9" x14ac:dyDescent="0.45">
      <c r="A73" s="1" t="s">
        <v>15</v>
      </c>
      <c r="B73" s="1" t="s">
        <v>31</v>
      </c>
      <c r="C73" s="1" t="s">
        <v>52</v>
      </c>
      <c r="D73" s="5">
        <v>153853.57999999999</v>
      </c>
      <c r="E73" s="5">
        <v>123474.9</v>
      </c>
      <c r="F73" s="5" t="s">
        <v>66</v>
      </c>
      <c r="G73" s="5">
        <v>30378.679999999989</v>
      </c>
      <c r="H73" s="5">
        <v>24.60312176806784</v>
      </c>
      <c r="I73" s="1" t="s">
        <v>67</v>
      </c>
    </row>
    <row r="74" spans="1:9" x14ac:dyDescent="0.45">
      <c r="A74" s="1" t="s">
        <v>12</v>
      </c>
      <c r="B74" s="1" t="s">
        <v>54</v>
      </c>
      <c r="C74" s="1" t="s">
        <v>58</v>
      </c>
      <c r="D74" s="5">
        <v>188227.08</v>
      </c>
      <c r="E74" s="5">
        <v>218271.19</v>
      </c>
      <c r="F74" s="5" t="s">
        <v>66</v>
      </c>
      <c r="G74" s="5">
        <v>-30044.110000000019</v>
      </c>
      <c r="H74" s="5">
        <v>-13.764578825084531</v>
      </c>
      <c r="I74" s="1" t="s">
        <v>67</v>
      </c>
    </row>
    <row r="75" spans="1:9" x14ac:dyDescent="0.45">
      <c r="A75" s="1" t="s">
        <v>19</v>
      </c>
      <c r="B75" s="1" t="s">
        <v>54</v>
      </c>
      <c r="C75" s="1" t="s">
        <v>56</v>
      </c>
      <c r="D75" s="5">
        <v>672956.18</v>
      </c>
      <c r="E75" s="5">
        <v>643188.4</v>
      </c>
      <c r="F75" s="5" t="s">
        <v>66</v>
      </c>
      <c r="G75" s="5">
        <v>29767.780000000032</v>
      </c>
      <c r="H75" s="5">
        <v>4.6281587167927816</v>
      </c>
      <c r="I75" s="1" t="s">
        <v>68</v>
      </c>
    </row>
    <row r="76" spans="1:9" x14ac:dyDescent="0.45">
      <c r="A76" s="1" t="s">
        <v>26</v>
      </c>
      <c r="B76" s="1" t="s">
        <v>54</v>
      </c>
      <c r="C76" s="1" t="s">
        <v>56</v>
      </c>
      <c r="D76" s="5">
        <v>1011286.82</v>
      </c>
      <c r="E76" s="5">
        <v>982020.18</v>
      </c>
      <c r="F76" s="5" t="s">
        <v>66</v>
      </c>
      <c r="G76" s="5">
        <v>29266.639999999901</v>
      </c>
      <c r="H76" s="5">
        <v>2.980248328501752</v>
      </c>
      <c r="I76" s="1" t="s">
        <v>68</v>
      </c>
    </row>
    <row r="77" spans="1:9" x14ac:dyDescent="0.45">
      <c r="A77" s="1" t="s">
        <v>10</v>
      </c>
      <c r="B77" s="1" t="s">
        <v>31</v>
      </c>
      <c r="C77" s="1" t="s">
        <v>44</v>
      </c>
      <c r="D77" s="5">
        <v>203595.28</v>
      </c>
      <c r="E77" s="5">
        <v>174463.34</v>
      </c>
      <c r="F77" s="5" t="s">
        <v>66</v>
      </c>
      <c r="G77" s="5">
        <v>29131.94</v>
      </c>
      <c r="H77" s="5">
        <v>16.698029511529469</v>
      </c>
      <c r="I77" s="1" t="s">
        <v>67</v>
      </c>
    </row>
    <row r="78" spans="1:9" x14ac:dyDescent="0.45">
      <c r="A78" s="1" t="s">
        <v>12</v>
      </c>
      <c r="B78" s="1" t="s">
        <v>31</v>
      </c>
      <c r="C78" s="1" t="s">
        <v>53</v>
      </c>
      <c r="D78" s="5">
        <v>45915.74</v>
      </c>
      <c r="E78" s="5">
        <v>75001.5</v>
      </c>
      <c r="F78" s="5" t="s">
        <v>66</v>
      </c>
      <c r="G78" s="5">
        <v>-29085.759999999998</v>
      </c>
      <c r="H78" s="5">
        <v>-38.780237728578761</v>
      </c>
      <c r="I78" s="1" t="s">
        <v>68</v>
      </c>
    </row>
    <row r="79" spans="1:9" x14ac:dyDescent="0.45">
      <c r="A79" s="1" t="s">
        <v>20</v>
      </c>
      <c r="B79" s="1" t="s">
        <v>31</v>
      </c>
      <c r="C79" s="1" t="s">
        <v>35</v>
      </c>
      <c r="D79" s="5">
        <v>49297.24</v>
      </c>
      <c r="E79" s="5">
        <v>77535.73</v>
      </c>
      <c r="F79" s="5" t="s">
        <v>66</v>
      </c>
      <c r="G79" s="5">
        <v>-28238.49</v>
      </c>
      <c r="H79" s="5">
        <v>-36.419970509080137</v>
      </c>
      <c r="I79" s="1" t="s">
        <v>68</v>
      </c>
    </row>
    <row r="80" spans="1:9" x14ac:dyDescent="0.45">
      <c r="A80" s="1" t="s">
        <v>8</v>
      </c>
      <c r="B80" s="1" t="s">
        <v>31</v>
      </c>
      <c r="C80" s="1" t="s">
        <v>49</v>
      </c>
      <c r="D80" s="5">
        <v>154957.59</v>
      </c>
      <c r="E80" s="5">
        <v>182337.51</v>
      </c>
      <c r="F80" s="5" t="s">
        <v>66</v>
      </c>
      <c r="G80" s="5">
        <v>-27379.920000000009</v>
      </c>
      <c r="H80" s="5">
        <v>-15.016065536926559</v>
      </c>
      <c r="I80" s="1" t="s">
        <v>68</v>
      </c>
    </row>
    <row r="81" spans="1:9" x14ac:dyDescent="0.45">
      <c r="A81" s="1" t="s">
        <v>9</v>
      </c>
      <c r="B81" s="1" t="s">
        <v>54</v>
      </c>
      <c r="C81" s="1" t="s">
        <v>58</v>
      </c>
      <c r="D81" s="5">
        <v>177370.58</v>
      </c>
      <c r="E81" s="5">
        <v>203489.56</v>
      </c>
      <c r="F81" s="5" t="s">
        <v>66</v>
      </c>
      <c r="G81" s="5">
        <v>-26118.98000000001</v>
      </c>
      <c r="H81" s="5">
        <v>-12.83553809836731</v>
      </c>
      <c r="I81" s="1" t="s">
        <v>67</v>
      </c>
    </row>
    <row r="82" spans="1:9" x14ac:dyDescent="0.45">
      <c r="A82" s="1" t="s">
        <v>10</v>
      </c>
      <c r="B82" s="1" t="s">
        <v>27</v>
      </c>
      <c r="C82" s="1" t="s">
        <v>29</v>
      </c>
      <c r="D82" s="5">
        <v>145273.60999999999</v>
      </c>
      <c r="E82" s="5">
        <v>171130.08</v>
      </c>
      <c r="F82" s="5" t="s">
        <v>66</v>
      </c>
      <c r="G82" s="5">
        <v>-25856.47</v>
      </c>
      <c r="H82" s="5">
        <v>-15.109249057792759</v>
      </c>
      <c r="I82" s="1" t="s">
        <v>68</v>
      </c>
    </row>
    <row r="83" spans="1:9" x14ac:dyDescent="0.45">
      <c r="A83" s="1" t="s">
        <v>6</v>
      </c>
      <c r="B83" s="1" t="s">
        <v>27</v>
      </c>
      <c r="C83" s="1" t="s">
        <v>29</v>
      </c>
      <c r="D83" s="5">
        <v>137288.93</v>
      </c>
      <c r="E83" s="5">
        <v>162397.37</v>
      </c>
      <c r="F83" s="5" t="s">
        <v>66</v>
      </c>
      <c r="G83" s="5">
        <v>-25108.44</v>
      </c>
      <c r="H83" s="5">
        <v>-15.46111245520787</v>
      </c>
      <c r="I83" s="1" t="s">
        <v>68</v>
      </c>
    </row>
    <row r="84" spans="1:9" x14ac:dyDescent="0.45">
      <c r="A84" s="1" t="s">
        <v>6</v>
      </c>
      <c r="B84" s="1" t="s">
        <v>31</v>
      </c>
      <c r="C84" s="1" t="s">
        <v>49</v>
      </c>
      <c r="D84" s="5">
        <v>156233.16</v>
      </c>
      <c r="E84" s="5">
        <v>181064.43</v>
      </c>
      <c r="F84" s="5" t="s">
        <v>66</v>
      </c>
      <c r="G84" s="5">
        <v>-24831.26999999999</v>
      </c>
      <c r="H84" s="5">
        <v>-13.714051953771371</v>
      </c>
      <c r="I84" s="1" t="s">
        <v>68</v>
      </c>
    </row>
    <row r="85" spans="1:9" x14ac:dyDescent="0.45">
      <c r="A85" s="1" t="s">
        <v>4</v>
      </c>
      <c r="B85" s="1" t="s">
        <v>31</v>
      </c>
      <c r="C85" s="1" t="s">
        <v>49</v>
      </c>
      <c r="D85" s="5">
        <v>147925.09</v>
      </c>
      <c r="E85" s="5">
        <v>171334.58</v>
      </c>
      <c r="F85" s="5" t="s">
        <v>66</v>
      </c>
      <c r="G85" s="5">
        <v>-23409.489999999991</v>
      </c>
      <c r="H85" s="5">
        <v>-13.66302704334408</v>
      </c>
      <c r="I85" s="1" t="s">
        <v>68</v>
      </c>
    </row>
    <row r="86" spans="1:9" x14ac:dyDescent="0.45">
      <c r="A86" s="1" t="s">
        <v>11</v>
      </c>
      <c r="B86" s="1" t="s">
        <v>31</v>
      </c>
      <c r="C86" s="1" t="s">
        <v>49</v>
      </c>
      <c r="D86" s="5">
        <v>157883.13</v>
      </c>
      <c r="E86" s="5">
        <v>180488.72</v>
      </c>
      <c r="F86" s="5" t="s">
        <v>66</v>
      </c>
      <c r="G86" s="5">
        <v>-22605.59</v>
      </c>
      <c r="H86" s="5">
        <v>-12.52465528039647</v>
      </c>
      <c r="I86" s="1" t="s">
        <v>68</v>
      </c>
    </row>
    <row r="87" spans="1:9" x14ac:dyDescent="0.45">
      <c r="A87" s="1" t="s">
        <v>25</v>
      </c>
      <c r="B87" s="1" t="s">
        <v>54</v>
      </c>
      <c r="C87" s="1" t="s">
        <v>58</v>
      </c>
      <c r="D87" s="5">
        <v>243491.8</v>
      </c>
      <c r="E87" s="5">
        <v>221319.84</v>
      </c>
      <c r="F87" s="5" t="s">
        <v>66</v>
      </c>
      <c r="G87" s="5">
        <v>22171.959999999988</v>
      </c>
      <c r="H87" s="5">
        <v>10.018062546945631</v>
      </c>
      <c r="I87" s="1" t="s">
        <v>68</v>
      </c>
    </row>
    <row r="88" spans="1:9" x14ac:dyDescent="0.45">
      <c r="A88" s="1" t="s">
        <v>24</v>
      </c>
      <c r="B88" s="1" t="s">
        <v>54</v>
      </c>
      <c r="C88" s="1" t="s">
        <v>57</v>
      </c>
      <c r="D88" s="5">
        <v>438307.69</v>
      </c>
      <c r="E88" s="5">
        <v>460107.03</v>
      </c>
      <c r="F88" s="5" t="s">
        <v>66</v>
      </c>
      <c r="G88" s="5">
        <v>-21799.340000000029</v>
      </c>
      <c r="H88" s="5">
        <v>-4.7378845743782749</v>
      </c>
      <c r="I88" s="1" t="s">
        <v>67</v>
      </c>
    </row>
    <row r="89" spans="1:9" x14ac:dyDescent="0.45">
      <c r="A89" s="1" t="s">
        <v>4</v>
      </c>
      <c r="B89" s="1" t="s">
        <v>31</v>
      </c>
      <c r="C89" s="1" t="s">
        <v>46</v>
      </c>
      <c r="D89" s="5">
        <v>61048.58</v>
      </c>
      <c r="E89" s="5">
        <v>82800.33</v>
      </c>
      <c r="F89" s="5" t="s">
        <v>66</v>
      </c>
      <c r="G89" s="5">
        <v>-21751.75</v>
      </c>
      <c r="H89" s="5">
        <v>-26.270124768826399</v>
      </c>
      <c r="I89" s="1" t="s">
        <v>68</v>
      </c>
    </row>
    <row r="90" spans="1:9" x14ac:dyDescent="0.45">
      <c r="A90" s="1" t="s">
        <v>18</v>
      </c>
      <c r="B90" s="1" t="s">
        <v>31</v>
      </c>
      <c r="C90" s="1" t="s">
        <v>35</v>
      </c>
      <c r="D90" s="5">
        <v>48543.86</v>
      </c>
      <c r="E90" s="5">
        <v>70246.38</v>
      </c>
      <c r="F90" s="5" t="s">
        <v>66</v>
      </c>
      <c r="G90" s="5">
        <v>-21702.52</v>
      </c>
      <c r="H90" s="5">
        <v>-30.89485892369116</v>
      </c>
      <c r="I90" s="1" t="s">
        <v>68</v>
      </c>
    </row>
    <row r="91" spans="1:9" x14ac:dyDescent="0.45">
      <c r="A91" s="1" t="s">
        <v>25</v>
      </c>
      <c r="B91" s="1" t="s">
        <v>31</v>
      </c>
      <c r="C91" s="1" t="s">
        <v>44</v>
      </c>
      <c r="D91" s="5">
        <v>112886.31</v>
      </c>
      <c r="E91" s="5">
        <v>134163.79999999999</v>
      </c>
      <c r="F91" s="5" t="s">
        <v>66</v>
      </c>
      <c r="G91" s="5">
        <v>-21277.489999999991</v>
      </c>
      <c r="H91" s="5">
        <v>-15.85933761566085</v>
      </c>
      <c r="I91" s="1" t="s">
        <v>68</v>
      </c>
    </row>
    <row r="92" spans="1:9" x14ac:dyDescent="0.45">
      <c r="A92" s="1" t="s">
        <v>5</v>
      </c>
      <c r="B92" s="1" t="s">
        <v>31</v>
      </c>
      <c r="C92" s="1" t="s">
        <v>38</v>
      </c>
      <c r="D92" s="5">
        <v>117595.15</v>
      </c>
      <c r="E92" s="5">
        <v>138761.35999999999</v>
      </c>
      <c r="F92" s="5" t="s">
        <v>66</v>
      </c>
      <c r="G92" s="5">
        <v>-21166.209999999988</v>
      </c>
      <c r="H92" s="5">
        <v>-15.25367724847897</v>
      </c>
      <c r="I92" s="1" t="s">
        <v>68</v>
      </c>
    </row>
    <row r="93" spans="1:9" x14ac:dyDescent="0.45">
      <c r="A93" s="1" t="s">
        <v>4</v>
      </c>
      <c r="B93" s="1" t="s">
        <v>27</v>
      </c>
      <c r="C93" s="1" t="s">
        <v>29</v>
      </c>
      <c r="D93" s="5">
        <v>129897.69</v>
      </c>
      <c r="E93" s="5">
        <v>151014.70000000001</v>
      </c>
      <c r="F93" s="5" t="s">
        <v>66</v>
      </c>
      <c r="G93" s="5">
        <v>-21117.010000000009</v>
      </c>
      <c r="H93" s="5">
        <v>-13.983413535238631</v>
      </c>
      <c r="I93" s="1" t="s">
        <v>68</v>
      </c>
    </row>
    <row r="94" spans="1:9" x14ac:dyDescent="0.45">
      <c r="A94" s="1" t="s">
        <v>15</v>
      </c>
      <c r="B94" s="1" t="s">
        <v>31</v>
      </c>
      <c r="C94" s="1" t="s">
        <v>48</v>
      </c>
      <c r="D94" s="5">
        <v>109633.14</v>
      </c>
      <c r="E94" s="5">
        <v>130646.45</v>
      </c>
      <c r="F94" s="5" t="s">
        <v>66</v>
      </c>
      <c r="G94" s="5">
        <v>-21013.31</v>
      </c>
      <c r="H94" s="5">
        <v>-16.0841033185364</v>
      </c>
      <c r="I94" s="1" t="s">
        <v>68</v>
      </c>
    </row>
    <row r="95" spans="1:9" x14ac:dyDescent="0.45">
      <c r="A95" s="1" t="s">
        <v>18</v>
      </c>
      <c r="B95" s="1" t="s">
        <v>31</v>
      </c>
      <c r="C95" s="1" t="s">
        <v>49</v>
      </c>
      <c r="D95" s="5">
        <v>157826.45000000001</v>
      </c>
      <c r="E95" s="5">
        <v>178768.01</v>
      </c>
      <c r="F95" s="5" t="s">
        <v>66</v>
      </c>
      <c r="G95" s="5">
        <v>-20941.560000000001</v>
      </c>
      <c r="H95" s="5">
        <v>-11.71437775695998</v>
      </c>
      <c r="I95" s="1" t="s">
        <v>68</v>
      </c>
    </row>
    <row r="96" spans="1:9" x14ac:dyDescent="0.45">
      <c r="A96" s="1" t="s">
        <v>8</v>
      </c>
      <c r="B96" s="1" t="s">
        <v>31</v>
      </c>
      <c r="C96" s="1" t="s">
        <v>44</v>
      </c>
      <c r="D96" s="5">
        <v>114843.4</v>
      </c>
      <c r="E96" s="5">
        <v>135453.42000000001</v>
      </c>
      <c r="F96" s="5" t="s">
        <v>66</v>
      </c>
      <c r="G96" s="5">
        <v>-20610.020000000019</v>
      </c>
      <c r="H96" s="5">
        <v>-15.21557742875744</v>
      </c>
      <c r="I96" s="1" t="s">
        <v>68</v>
      </c>
    </row>
    <row r="97" spans="1:9" x14ac:dyDescent="0.45">
      <c r="A97" s="1" t="s">
        <v>13</v>
      </c>
      <c r="B97" s="1" t="s">
        <v>27</v>
      </c>
      <c r="C97" s="1" t="s">
        <v>29</v>
      </c>
      <c r="D97" s="5">
        <v>180494.42</v>
      </c>
      <c r="E97" s="5">
        <v>200832.96</v>
      </c>
      <c r="F97" s="5" t="s">
        <v>66</v>
      </c>
      <c r="G97" s="5">
        <v>-20338.539999999979</v>
      </c>
      <c r="H97" s="5">
        <v>-10.12709268438805</v>
      </c>
      <c r="I97" s="1" t="s">
        <v>68</v>
      </c>
    </row>
    <row r="98" spans="1:9" x14ac:dyDescent="0.45">
      <c r="A98" s="1" t="s">
        <v>8</v>
      </c>
      <c r="B98" s="1" t="s">
        <v>31</v>
      </c>
      <c r="C98" s="1" t="s">
        <v>46</v>
      </c>
      <c r="D98" s="5">
        <v>64474.42</v>
      </c>
      <c r="E98" s="5">
        <v>84498.26</v>
      </c>
      <c r="F98" s="5" t="s">
        <v>66</v>
      </c>
      <c r="G98" s="5">
        <v>-20023.84</v>
      </c>
      <c r="H98" s="5">
        <v>-23.697340039901409</v>
      </c>
      <c r="I98" s="1" t="s">
        <v>68</v>
      </c>
    </row>
    <row r="99" spans="1:9" x14ac:dyDescent="0.45">
      <c r="A99" s="1" t="s">
        <v>23</v>
      </c>
      <c r="B99" s="1" t="s">
        <v>54</v>
      </c>
      <c r="C99" s="1" t="s">
        <v>57</v>
      </c>
      <c r="D99" s="5">
        <v>450770.44</v>
      </c>
      <c r="E99" s="5">
        <v>430761.05</v>
      </c>
      <c r="F99" s="5" t="s">
        <v>66</v>
      </c>
      <c r="G99" s="5">
        <v>20009.39000000001</v>
      </c>
      <c r="H99" s="5">
        <v>4.6451251801898099</v>
      </c>
      <c r="I99" s="1" t="s">
        <v>68</v>
      </c>
    </row>
    <row r="100" spans="1:9" x14ac:dyDescent="0.45">
      <c r="A100" s="1" t="s">
        <v>9</v>
      </c>
      <c r="B100" s="1" t="s">
        <v>31</v>
      </c>
      <c r="C100" s="1" t="s">
        <v>38</v>
      </c>
      <c r="D100" s="5">
        <v>125118.03</v>
      </c>
      <c r="E100" s="5">
        <v>145027.45000000001</v>
      </c>
      <c r="F100" s="5" t="s">
        <v>66</v>
      </c>
      <c r="G100" s="5">
        <v>-19909.420000000009</v>
      </c>
      <c r="H100" s="5">
        <v>-13.72803562360092</v>
      </c>
      <c r="I100" s="1" t="s">
        <v>68</v>
      </c>
    </row>
    <row r="101" spans="1:9" x14ac:dyDescent="0.45">
      <c r="A101" s="1" t="s">
        <v>5</v>
      </c>
      <c r="B101" s="1" t="s">
        <v>31</v>
      </c>
      <c r="C101" s="1" t="s">
        <v>49</v>
      </c>
      <c r="D101" s="5">
        <v>156131.95000000001</v>
      </c>
      <c r="E101" s="5">
        <v>175953.1</v>
      </c>
      <c r="F101" s="5" t="s">
        <v>66</v>
      </c>
      <c r="G101" s="5">
        <v>-19821.149999999991</v>
      </c>
      <c r="H101" s="5">
        <v>-11.26501891697276</v>
      </c>
      <c r="I101" s="1" t="s">
        <v>68</v>
      </c>
    </row>
    <row r="102" spans="1:9" x14ac:dyDescent="0.45">
      <c r="A102" s="1" t="s">
        <v>9</v>
      </c>
      <c r="B102" s="1" t="s">
        <v>31</v>
      </c>
      <c r="C102" s="1" t="s">
        <v>49</v>
      </c>
      <c r="D102" s="5">
        <v>159305.4</v>
      </c>
      <c r="E102" s="5">
        <v>179018.48</v>
      </c>
      <c r="F102" s="5" t="s">
        <v>66</v>
      </c>
      <c r="G102" s="5">
        <v>-19713.08000000002</v>
      </c>
      <c r="H102" s="5">
        <v>-11.011756998495359</v>
      </c>
      <c r="I102" s="1" t="s">
        <v>68</v>
      </c>
    </row>
    <row r="103" spans="1:9" x14ac:dyDescent="0.45">
      <c r="A103" s="1" t="s">
        <v>11</v>
      </c>
      <c r="B103" s="1" t="s">
        <v>31</v>
      </c>
      <c r="C103" s="1" t="s">
        <v>38</v>
      </c>
      <c r="D103" s="5">
        <v>122334.84</v>
      </c>
      <c r="E103" s="5">
        <v>141918.69</v>
      </c>
      <c r="F103" s="5" t="s">
        <v>66</v>
      </c>
      <c r="G103" s="5">
        <v>-19583.850000000009</v>
      </c>
      <c r="H103" s="5">
        <v>-13.799345244801801</v>
      </c>
      <c r="I103" s="1" t="s">
        <v>68</v>
      </c>
    </row>
    <row r="104" spans="1:9" x14ac:dyDescent="0.45">
      <c r="A104" s="1" t="s">
        <v>3</v>
      </c>
      <c r="B104" s="1" t="s">
        <v>27</v>
      </c>
      <c r="C104" s="1" t="s">
        <v>29</v>
      </c>
      <c r="D104" s="5">
        <v>117045.99</v>
      </c>
      <c r="E104" s="5">
        <v>136627.47</v>
      </c>
      <c r="F104" s="5" t="s">
        <v>66</v>
      </c>
      <c r="G104" s="5">
        <v>-19581.48</v>
      </c>
      <c r="H104" s="5">
        <v>-14.3320226891415</v>
      </c>
      <c r="I104" s="1" t="s">
        <v>68</v>
      </c>
    </row>
    <row r="105" spans="1:9" x14ac:dyDescent="0.45">
      <c r="A105" s="1" t="s">
        <v>12</v>
      </c>
      <c r="B105" s="1" t="s">
        <v>31</v>
      </c>
      <c r="C105" s="1" t="s">
        <v>38</v>
      </c>
      <c r="D105" s="5">
        <v>124802.22</v>
      </c>
      <c r="E105" s="5">
        <v>144374.6</v>
      </c>
      <c r="F105" s="5" t="s">
        <v>66</v>
      </c>
      <c r="G105" s="5">
        <v>-19572.38</v>
      </c>
      <c r="H105" s="5">
        <v>-13.556664399416521</v>
      </c>
      <c r="I105" s="1" t="s">
        <v>68</v>
      </c>
    </row>
    <row r="106" spans="1:9" x14ac:dyDescent="0.45">
      <c r="A106" s="1" t="s">
        <v>18</v>
      </c>
      <c r="B106" s="1" t="s">
        <v>31</v>
      </c>
      <c r="C106" s="1" t="s">
        <v>44</v>
      </c>
      <c r="D106" s="5">
        <v>109585.89</v>
      </c>
      <c r="E106" s="5">
        <v>128988.28</v>
      </c>
      <c r="F106" s="5" t="s">
        <v>66</v>
      </c>
      <c r="G106" s="5">
        <v>-19402.39</v>
      </c>
      <c r="H106" s="5">
        <v>-15.041979007705191</v>
      </c>
      <c r="I106" s="1" t="s">
        <v>68</v>
      </c>
    </row>
    <row r="107" spans="1:9" x14ac:dyDescent="0.45">
      <c r="A107" s="1" t="s">
        <v>21</v>
      </c>
      <c r="B107" s="1" t="s">
        <v>27</v>
      </c>
      <c r="C107" s="1" t="s">
        <v>28</v>
      </c>
      <c r="D107" s="5">
        <v>365360.37</v>
      </c>
      <c r="E107" s="5">
        <v>346075.71</v>
      </c>
      <c r="F107" s="5" t="s">
        <v>66</v>
      </c>
      <c r="G107" s="5">
        <v>19284.659999999971</v>
      </c>
      <c r="H107" s="5">
        <v>5.5723818351770404</v>
      </c>
      <c r="I107" s="1" t="s">
        <v>67</v>
      </c>
    </row>
    <row r="108" spans="1:9" x14ac:dyDescent="0.45">
      <c r="A108" s="1" t="s">
        <v>12</v>
      </c>
      <c r="B108" s="1" t="s">
        <v>31</v>
      </c>
      <c r="C108" s="1" t="s">
        <v>48</v>
      </c>
      <c r="D108" s="5">
        <v>91060.52</v>
      </c>
      <c r="E108" s="5">
        <v>109901.75</v>
      </c>
      <c r="F108" s="5" t="s">
        <v>66</v>
      </c>
      <c r="G108" s="5">
        <v>-18841.23</v>
      </c>
      <c r="H108" s="5">
        <v>-17.14370335322231</v>
      </c>
      <c r="I108" s="1" t="s">
        <v>68</v>
      </c>
    </row>
    <row r="109" spans="1:9" x14ac:dyDescent="0.45">
      <c r="A109" s="1" t="s">
        <v>19</v>
      </c>
      <c r="B109" s="1" t="s">
        <v>27</v>
      </c>
      <c r="C109" s="1" t="s">
        <v>28</v>
      </c>
      <c r="D109" s="5">
        <v>326984.69</v>
      </c>
      <c r="E109" s="5">
        <v>345700.21</v>
      </c>
      <c r="F109" s="5" t="s">
        <v>66</v>
      </c>
      <c r="G109" s="5">
        <v>-18715.520000000019</v>
      </c>
      <c r="H109" s="5">
        <v>-5.4138005875090496</v>
      </c>
      <c r="I109" s="1" t="s">
        <v>68</v>
      </c>
    </row>
    <row r="110" spans="1:9" x14ac:dyDescent="0.45">
      <c r="A110" s="1" t="s">
        <v>16</v>
      </c>
      <c r="B110" s="1" t="s">
        <v>31</v>
      </c>
      <c r="C110" s="1" t="s">
        <v>46</v>
      </c>
      <c r="D110" s="5">
        <v>97729.51</v>
      </c>
      <c r="E110" s="5">
        <v>79335.87</v>
      </c>
      <c r="F110" s="5" t="s">
        <v>66</v>
      </c>
      <c r="G110" s="5">
        <v>18393.64</v>
      </c>
      <c r="H110" s="5">
        <v>23.184519184071469</v>
      </c>
      <c r="I110" s="1" t="s">
        <v>67</v>
      </c>
    </row>
    <row r="111" spans="1:9" x14ac:dyDescent="0.45">
      <c r="A111" s="1" t="s">
        <v>6</v>
      </c>
      <c r="B111" s="1" t="s">
        <v>31</v>
      </c>
      <c r="C111" s="1" t="s">
        <v>52</v>
      </c>
      <c r="D111" s="5">
        <v>87819.08</v>
      </c>
      <c r="E111" s="5">
        <v>106195.72</v>
      </c>
      <c r="F111" s="5" t="s">
        <v>66</v>
      </c>
      <c r="G111" s="5">
        <v>-18376.64</v>
      </c>
      <c r="H111" s="5">
        <v>-17.304501537350092</v>
      </c>
      <c r="I111" s="1" t="s">
        <v>68</v>
      </c>
    </row>
    <row r="112" spans="1:9" x14ac:dyDescent="0.45">
      <c r="A112" s="1" t="s">
        <v>14</v>
      </c>
      <c r="B112" s="1" t="s">
        <v>31</v>
      </c>
      <c r="C112" s="1" t="s">
        <v>48</v>
      </c>
      <c r="D112" s="5">
        <v>89416.07</v>
      </c>
      <c r="E112" s="5">
        <v>107689.58</v>
      </c>
      <c r="F112" s="5" t="s">
        <v>66</v>
      </c>
      <c r="G112" s="5">
        <v>-18273.509999999991</v>
      </c>
      <c r="H112" s="5">
        <v>-16.96868907836765</v>
      </c>
      <c r="I112" s="1" t="s">
        <v>68</v>
      </c>
    </row>
    <row r="113" spans="1:9" x14ac:dyDescent="0.45">
      <c r="A113" s="1" t="s">
        <v>24</v>
      </c>
      <c r="B113" s="1" t="s">
        <v>31</v>
      </c>
      <c r="C113" s="1" t="s">
        <v>49</v>
      </c>
      <c r="D113" s="5">
        <v>158585.16</v>
      </c>
      <c r="E113" s="5">
        <v>176742.54</v>
      </c>
      <c r="F113" s="5" t="s">
        <v>66</v>
      </c>
      <c r="G113" s="5">
        <v>-18157.38</v>
      </c>
      <c r="H113" s="5">
        <v>-10.273350151016279</v>
      </c>
      <c r="I113" s="1" t="s">
        <v>68</v>
      </c>
    </row>
    <row r="114" spans="1:9" x14ac:dyDescent="0.45">
      <c r="A114" s="1" t="s">
        <v>23</v>
      </c>
      <c r="B114" s="1" t="s">
        <v>31</v>
      </c>
      <c r="C114" s="1" t="s">
        <v>35</v>
      </c>
      <c r="D114" s="5">
        <v>49573.34</v>
      </c>
      <c r="E114" s="5">
        <v>67701.88</v>
      </c>
      <c r="F114" s="5" t="s">
        <v>66</v>
      </c>
      <c r="G114" s="5">
        <v>-18128.540000000012</v>
      </c>
      <c r="H114" s="5">
        <v>-26.777011214459641</v>
      </c>
      <c r="I114" s="1" t="s">
        <v>68</v>
      </c>
    </row>
    <row r="115" spans="1:9" x14ac:dyDescent="0.45">
      <c r="A115" s="1" t="s">
        <v>8</v>
      </c>
      <c r="B115" s="1" t="s">
        <v>31</v>
      </c>
      <c r="C115" s="1" t="s">
        <v>35</v>
      </c>
      <c r="D115" s="5">
        <v>90376.28</v>
      </c>
      <c r="E115" s="5">
        <v>72288.55</v>
      </c>
      <c r="F115" s="5" t="s">
        <v>66</v>
      </c>
      <c r="G115" s="5">
        <v>18087.73</v>
      </c>
      <c r="H115" s="5">
        <v>25.021569806006621</v>
      </c>
      <c r="I115" s="1" t="s">
        <v>67</v>
      </c>
    </row>
    <row r="116" spans="1:9" x14ac:dyDescent="0.45">
      <c r="A116" s="1" t="s">
        <v>15</v>
      </c>
      <c r="B116" s="1" t="s">
        <v>31</v>
      </c>
      <c r="C116" s="1" t="s">
        <v>49</v>
      </c>
      <c r="D116" s="5">
        <v>155582.57999999999</v>
      </c>
      <c r="E116" s="5">
        <v>173606.91</v>
      </c>
      <c r="F116" s="5" t="s">
        <v>66</v>
      </c>
      <c r="G116" s="5">
        <v>-18024.33000000002</v>
      </c>
      <c r="H116" s="5">
        <v>-10.38226531420899</v>
      </c>
      <c r="I116" s="1" t="s">
        <v>68</v>
      </c>
    </row>
    <row r="117" spans="1:9" x14ac:dyDescent="0.45">
      <c r="A117" s="1" t="s">
        <v>4</v>
      </c>
      <c r="B117" s="1" t="s">
        <v>27</v>
      </c>
      <c r="C117" s="1" t="s">
        <v>28</v>
      </c>
      <c r="D117" s="5">
        <v>259795.37</v>
      </c>
      <c r="E117" s="5">
        <v>277609.02</v>
      </c>
      <c r="F117" s="5" t="s">
        <v>66</v>
      </c>
      <c r="G117" s="5">
        <v>-17813.65000000002</v>
      </c>
      <c r="H117" s="5">
        <v>-6.4168123931996242</v>
      </c>
      <c r="I117" s="1" t="s">
        <v>68</v>
      </c>
    </row>
    <row r="118" spans="1:9" x14ac:dyDescent="0.45">
      <c r="A118" s="1" t="s">
        <v>3</v>
      </c>
      <c r="B118" s="1" t="s">
        <v>31</v>
      </c>
      <c r="C118" s="1" t="s">
        <v>46</v>
      </c>
      <c r="D118" s="5">
        <v>78671.25</v>
      </c>
      <c r="E118" s="5">
        <v>96372.22</v>
      </c>
      <c r="F118" s="5" t="s">
        <v>66</v>
      </c>
      <c r="G118" s="5">
        <v>-17700.97</v>
      </c>
      <c r="H118" s="5">
        <v>-18.36729505660449</v>
      </c>
      <c r="I118" s="1" t="s">
        <v>68</v>
      </c>
    </row>
    <row r="119" spans="1:9" x14ac:dyDescent="0.45">
      <c r="A119" s="1" t="s">
        <v>23</v>
      </c>
      <c r="B119" s="1" t="s">
        <v>27</v>
      </c>
      <c r="C119" s="1" t="s">
        <v>29</v>
      </c>
      <c r="D119" s="5">
        <v>184168.79</v>
      </c>
      <c r="E119" s="5">
        <v>166760.68</v>
      </c>
      <c r="F119" s="5" t="s">
        <v>66</v>
      </c>
      <c r="G119" s="5">
        <v>17408.110000000019</v>
      </c>
      <c r="H119" s="5">
        <v>10.438977581525821</v>
      </c>
      <c r="I119" s="1" t="s">
        <v>67</v>
      </c>
    </row>
    <row r="120" spans="1:9" x14ac:dyDescent="0.45">
      <c r="A120" s="1" t="s">
        <v>19</v>
      </c>
      <c r="B120" s="1" t="s">
        <v>31</v>
      </c>
      <c r="C120" s="1" t="s">
        <v>47</v>
      </c>
      <c r="D120" s="5">
        <v>74028.73</v>
      </c>
      <c r="E120" s="5">
        <v>91325.77</v>
      </c>
      <c r="F120" s="5" t="s">
        <v>66</v>
      </c>
      <c r="G120" s="5">
        <v>-17297.040000000012</v>
      </c>
      <c r="H120" s="5">
        <v>-18.93993338353458</v>
      </c>
      <c r="I120" s="1" t="s">
        <v>68</v>
      </c>
    </row>
    <row r="121" spans="1:9" x14ac:dyDescent="0.45">
      <c r="A121" s="1" t="s">
        <v>11</v>
      </c>
      <c r="B121" s="1" t="s">
        <v>31</v>
      </c>
      <c r="C121" s="1" t="s">
        <v>44</v>
      </c>
      <c r="D121" s="5">
        <v>117806.37</v>
      </c>
      <c r="E121" s="5">
        <v>134968.15</v>
      </c>
      <c r="F121" s="5" t="s">
        <v>66</v>
      </c>
      <c r="G121" s="5">
        <v>-17161.78</v>
      </c>
      <c r="H121" s="5">
        <v>-12.71542952911483</v>
      </c>
      <c r="I121" s="1" t="s">
        <v>68</v>
      </c>
    </row>
    <row r="122" spans="1:9" x14ac:dyDescent="0.45">
      <c r="A122" s="1" t="s">
        <v>16</v>
      </c>
      <c r="B122" s="1" t="s">
        <v>54</v>
      </c>
      <c r="C122" s="1" t="s">
        <v>58</v>
      </c>
      <c r="D122" s="5">
        <v>203743.04</v>
      </c>
      <c r="E122" s="5">
        <v>187495.28</v>
      </c>
      <c r="F122" s="5" t="s">
        <v>66</v>
      </c>
      <c r="G122" s="5">
        <v>16247.760000000009</v>
      </c>
      <c r="H122" s="5">
        <v>8.6656901443065699</v>
      </c>
      <c r="I122" s="1" t="s">
        <v>68</v>
      </c>
    </row>
    <row r="123" spans="1:9" x14ac:dyDescent="0.45">
      <c r="A123" s="1" t="s">
        <v>8</v>
      </c>
      <c r="B123" s="1" t="s">
        <v>27</v>
      </c>
      <c r="C123" s="1" t="s">
        <v>30</v>
      </c>
      <c r="D123" s="5">
        <v>46468.66</v>
      </c>
      <c r="E123" s="5">
        <v>62507.93</v>
      </c>
      <c r="F123" s="5" t="s">
        <v>66</v>
      </c>
      <c r="G123" s="5">
        <v>-16039.27</v>
      </c>
      <c r="H123" s="5">
        <v>-25.659576312957409</v>
      </c>
      <c r="I123" s="1" t="s">
        <v>68</v>
      </c>
    </row>
    <row r="124" spans="1:9" x14ac:dyDescent="0.45">
      <c r="A124" s="1" t="s">
        <v>21</v>
      </c>
      <c r="B124" s="1" t="s">
        <v>31</v>
      </c>
      <c r="C124" s="1" t="s">
        <v>48</v>
      </c>
      <c r="D124" s="5">
        <v>102520.27</v>
      </c>
      <c r="E124" s="5">
        <v>118477.91</v>
      </c>
      <c r="F124" s="5" t="s">
        <v>66</v>
      </c>
      <c r="G124" s="5">
        <v>-15957.64</v>
      </c>
      <c r="H124" s="5">
        <v>-13.468873649104721</v>
      </c>
      <c r="I124" s="1" t="s">
        <v>68</v>
      </c>
    </row>
    <row r="125" spans="1:9" x14ac:dyDescent="0.45">
      <c r="A125" s="1" t="s">
        <v>22</v>
      </c>
      <c r="B125" s="1" t="s">
        <v>31</v>
      </c>
      <c r="C125" s="1" t="s">
        <v>38</v>
      </c>
      <c r="D125" s="5">
        <v>128712.56</v>
      </c>
      <c r="E125" s="5">
        <v>144428.73000000001</v>
      </c>
      <c r="F125" s="5" t="s">
        <v>66</v>
      </c>
      <c r="G125" s="5">
        <v>-15716.170000000009</v>
      </c>
      <c r="H125" s="5">
        <v>-10.881609219993839</v>
      </c>
      <c r="I125" s="1" t="s">
        <v>68</v>
      </c>
    </row>
    <row r="126" spans="1:9" x14ac:dyDescent="0.45">
      <c r="A126" s="1" t="s">
        <v>13</v>
      </c>
      <c r="B126" s="1" t="s">
        <v>31</v>
      </c>
      <c r="C126" s="1" t="s">
        <v>49</v>
      </c>
      <c r="D126" s="5">
        <v>161577.42000000001</v>
      </c>
      <c r="E126" s="5">
        <v>177266.14</v>
      </c>
      <c r="F126" s="5" t="s">
        <v>66</v>
      </c>
      <c r="G126" s="5">
        <v>-15688.72</v>
      </c>
      <c r="H126" s="5">
        <v>-8.8503760503839022</v>
      </c>
      <c r="I126" s="1" t="s">
        <v>68</v>
      </c>
    </row>
    <row r="127" spans="1:9" x14ac:dyDescent="0.45">
      <c r="A127" s="1" t="s">
        <v>4</v>
      </c>
      <c r="B127" s="1" t="s">
        <v>31</v>
      </c>
      <c r="C127" s="1" t="s">
        <v>52</v>
      </c>
      <c r="D127" s="5">
        <v>89654.28</v>
      </c>
      <c r="E127" s="5">
        <v>105152.21</v>
      </c>
      <c r="F127" s="5" t="s">
        <v>66</v>
      </c>
      <c r="G127" s="5">
        <v>-15497.930000000009</v>
      </c>
      <c r="H127" s="5">
        <v>-14.73856802439056</v>
      </c>
      <c r="I127" s="1" t="s">
        <v>68</v>
      </c>
    </row>
    <row r="128" spans="1:9" x14ac:dyDescent="0.45">
      <c r="A128" s="1" t="s">
        <v>13</v>
      </c>
      <c r="B128" s="1" t="s">
        <v>27</v>
      </c>
      <c r="C128" s="1" t="s">
        <v>30</v>
      </c>
      <c r="D128" s="5">
        <v>60164.81</v>
      </c>
      <c r="E128" s="5">
        <v>75626.899999999994</v>
      </c>
      <c r="F128" s="5" t="s">
        <v>66</v>
      </c>
      <c r="G128" s="5">
        <v>-15462.09</v>
      </c>
      <c r="H128" s="5">
        <v>-20.445225177813711</v>
      </c>
      <c r="I128" s="1" t="s">
        <v>68</v>
      </c>
    </row>
    <row r="129" spans="1:9" x14ac:dyDescent="0.45">
      <c r="A129" s="1" t="s">
        <v>23</v>
      </c>
      <c r="B129" s="1" t="s">
        <v>31</v>
      </c>
      <c r="C129" s="1" t="s">
        <v>38</v>
      </c>
      <c r="D129" s="5">
        <v>129430.8</v>
      </c>
      <c r="E129" s="5">
        <v>144798.12</v>
      </c>
      <c r="F129" s="5" t="s">
        <v>66</v>
      </c>
      <c r="G129" s="5">
        <v>-15367.319999999991</v>
      </c>
      <c r="H129" s="5">
        <v>-10.61292784740575</v>
      </c>
      <c r="I129" s="1" t="s">
        <v>68</v>
      </c>
    </row>
    <row r="130" spans="1:9" x14ac:dyDescent="0.45">
      <c r="A130" s="1" t="s">
        <v>9</v>
      </c>
      <c r="B130" s="1" t="s">
        <v>31</v>
      </c>
      <c r="C130" s="1" t="s">
        <v>48</v>
      </c>
      <c r="D130" s="5">
        <v>103484.05</v>
      </c>
      <c r="E130" s="5">
        <v>118824.22</v>
      </c>
      <c r="F130" s="5" t="s">
        <v>66</v>
      </c>
      <c r="G130" s="5">
        <v>-15340.17</v>
      </c>
      <c r="H130" s="5">
        <v>-12.909969028199811</v>
      </c>
      <c r="I130" s="1" t="s">
        <v>68</v>
      </c>
    </row>
    <row r="131" spans="1:9" x14ac:dyDescent="0.45">
      <c r="A131" s="1" t="s">
        <v>17</v>
      </c>
      <c r="B131" s="1" t="s">
        <v>31</v>
      </c>
      <c r="C131" s="1" t="s">
        <v>51</v>
      </c>
      <c r="D131" s="5">
        <v>29888.47</v>
      </c>
      <c r="E131" s="5">
        <v>45123.360000000001</v>
      </c>
      <c r="F131" s="5" t="s">
        <v>66</v>
      </c>
      <c r="G131" s="5">
        <v>-15234.89</v>
      </c>
      <c r="H131" s="5">
        <v>-33.762756142273091</v>
      </c>
      <c r="I131" s="1" t="s">
        <v>68</v>
      </c>
    </row>
    <row r="132" spans="1:9" x14ac:dyDescent="0.45">
      <c r="A132" s="1" t="s">
        <v>10</v>
      </c>
      <c r="B132" s="1" t="s">
        <v>31</v>
      </c>
      <c r="C132" s="1" t="s">
        <v>52</v>
      </c>
      <c r="D132" s="5">
        <v>91837.95</v>
      </c>
      <c r="E132" s="5">
        <v>107066.98</v>
      </c>
      <c r="F132" s="5" t="s">
        <v>66</v>
      </c>
      <c r="G132" s="5">
        <v>-15229.03</v>
      </c>
      <c r="H132" s="5">
        <v>-14.22383446324908</v>
      </c>
      <c r="I132" s="1" t="s">
        <v>68</v>
      </c>
    </row>
    <row r="133" spans="1:9" x14ac:dyDescent="0.45">
      <c r="A133" s="1" t="s">
        <v>21</v>
      </c>
      <c r="B133" s="1" t="s">
        <v>31</v>
      </c>
      <c r="C133" s="1" t="s">
        <v>49</v>
      </c>
      <c r="D133" s="5">
        <v>167934.28</v>
      </c>
      <c r="E133" s="5">
        <v>183143.29</v>
      </c>
      <c r="F133" s="5" t="s">
        <v>66</v>
      </c>
      <c r="G133" s="5">
        <v>-15209.010000000009</v>
      </c>
      <c r="H133" s="5">
        <v>-8.3044320105858151</v>
      </c>
      <c r="I133" s="1" t="s">
        <v>68</v>
      </c>
    </row>
    <row r="134" spans="1:9" x14ac:dyDescent="0.45">
      <c r="A134" s="1" t="s">
        <v>7</v>
      </c>
      <c r="B134" s="1" t="s">
        <v>27</v>
      </c>
      <c r="C134" s="1" t="s">
        <v>29</v>
      </c>
      <c r="D134" s="5">
        <v>135964.9</v>
      </c>
      <c r="E134" s="5">
        <v>151169.03</v>
      </c>
      <c r="F134" s="5" t="s">
        <v>66</v>
      </c>
      <c r="G134" s="5">
        <v>-15204.13</v>
      </c>
      <c r="H134" s="5">
        <v>-10.05770163372749</v>
      </c>
      <c r="I134" s="1" t="s">
        <v>68</v>
      </c>
    </row>
    <row r="135" spans="1:9" x14ac:dyDescent="0.45">
      <c r="A135" s="1" t="s">
        <v>8</v>
      </c>
      <c r="B135" s="1" t="s">
        <v>31</v>
      </c>
      <c r="C135" s="1" t="s">
        <v>38</v>
      </c>
      <c r="D135" s="5">
        <v>126370.54</v>
      </c>
      <c r="E135" s="5">
        <v>141512.14000000001</v>
      </c>
      <c r="F135" s="5" t="s">
        <v>66</v>
      </c>
      <c r="G135" s="5">
        <v>-15141.60000000002</v>
      </c>
      <c r="H135" s="5">
        <v>-10.69985939015552</v>
      </c>
      <c r="I135" s="1" t="s">
        <v>68</v>
      </c>
    </row>
    <row r="136" spans="1:9" x14ac:dyDescent="0.45">
      <c r="A136" s="1" t="s">
        <v>15</v>
      </c>
      <c r="B136" s="1" t="s">
        <v>54</v>
      </c>
      <c r="C136" s="1" t="s">
        <v>58</v>
      </c>
      <c r="D136" s="5">
        <v>199748.08</v>
      </c>
      <c r="E136" s="5">
        <v>184646.86</v>
      </c>
      <c r="F136" s="5" t="s">
        <v>66</v>
      </c>
      <c r="G136" s="5">
        <v>15101.22</v>
      </c>
      <c r="H136" s="5">
        <v>8.1784331453023373</v>
      </c>
      <c r="I136" s="1" t="s">
        <v>68</v>
      </c>
    </row>
    <row r="137" spans="1:9" x14ac:dyDescent="0.45">
      <c r="A137" s="1" t="s">
        <v>24</v>
      </c>
      <c r="B137" s="1" t="s">
        <v>27</v>
      </c>
      <c r="C137" s="1" t="s">
        <v>28</v>
      </c>
      <c r="D137" s="5">
        <v>378310.22</v>
      </c>
      <c r="E137" s="5">
        <v>363365.91</v>
      </c>
      <c r="F137" s="5" t="s">
        <v>66</v>
      </c>
      <c r="G137" s="5">
        <v>14944.31</v>
      </c>
      <c r="H137" s="5">
        <v>4.11274409313741</v>
      </c>
      <c r="I137" s="1" t="s">
        <v>67</v>
      </c>
    </row>
    <row r="138" spans="1:9" x14ac:dyDescent="0.45">
      <c r="A138" s="1" t="s">
        <v>26</v>
      </c>
      <c r="B138" s="1" t="s">
        <v>31</v>
      </c>
      <c r="C138" s="1" t="s">
        <v>46</v>
      </c>
      <c r="D138" s="5">
        <v>63356.959999999999</v>
      </c>
      <c r="E138" s="5">
        <v>78293.45</v>
      </c>
      <c r="F138" s="5" t="s">
        <v>66</v>
      </c>
      <c r="G138" s="5">
        <v>-14936.49</v>
      </c>
      <c r="H138" s="5">
        <v>-19.077572900415039</v>
      </c>
      <c r="I138" s="1" t="s">
        <v>68</v>
      </c>
    </row>
    <row r="139" spans="1:9" x14ac:dyDescent="0.45">
      <c r="A139" s="1" t="s">
        <v>6</v>
      </c>
      <c r="B139" s="1" t="s">
        <v>31</v>
      </c>
      <c r="C139" s="1" t="s">
        <v>35</v>
      </c>
      <c r="D139" s="5">
        <v>81492.86</v>
      </c>
      <c r="E139" s="5">
        <v>66704.98</v>
      </c>
      <c r="F139" s="5" t="s">
        <v>66</v>
      </c>
      <c r="G139" s="5">
        <v>14787.88</v>
      </c>
      <c r="H139" s="5">
        <v>22.169079430051561</v>
      </c>
      <c r="I139" s="1" t="s">
        <v>67</v>
      </c>
    </row>
    <row r="140" spans="1:9" x14ac:dyDescent="0.45">
      <c r="A140" s="1" t="s">
        <v>19</v>
      </c>
      <c r="B140" s="1" t="s">
        <v>54</v>
      </c>
      <c r="C140" s="1" t="s">
        <v>57</v>
      </c>
      <c r="D140" s="5">
        <v>403773.71</v>
      </c>
      <c r="E140" s="5">
        <v>389142.45</v>
      </c>
      <c r="F140" s="5" t="s">
        <v>66</v>
      </c>
      <c r="G140" s="5">
        <v>14631.260000000009</v>
      </c>
      <c r="H140" s="5">
        <v>3.7598725094114021</v>
      </c>
      <c r="I140" s="1" t="s">
        <v>68</v>
      </c>
    </row>
    <row r="141" spans="1:9" x14ac:dyDescent="0.45">
      <c r="A141" s="1" t="s">
        <v>10</v>
      </c>
      <c r="B141" s="1" t="s">
        <v>27</v>
      </c>
      <c r="C141" s="1" t="s">
        <v>30</v>
      </c>
      <c r="D141" s="5">
        <v>48424.54</v>
      </c>
      <c r="E141" s="5">
        <v>62863.9</v>
      </c>
      <c r="F141" s="5" t="s">
        <v>66</v>
      </c>
      <c r="G141" s="5">
        <v>-14439.36</v>
      </c>
      <c r="H141" s="5">
        <v>-22.969239897620099</v>
      </c>
      <c r="I141" s="1" t="s">
        <v>68</v>
      </c>
    </row>
    <row r="142" spans="1:9" x14ac:dyDescent="0.45">
      <c r="A142" s="1" t="s">
        <v>13</v>
      </c>
      <c r="B142" s="1" t="s">
        <v>31</v>
      </c>
      <c r="C142" s="1" t="s">
        <v>48</v>
      </c>
      <c r="D142" s="5">
        <v>104832.17</v>
      </c>
      <c r="E142" s="5">
        <v>119249.74</v>
      </c>
      <c r="F142" s="5" t="s">
        <v>66</v>
      </c>
      <c r="G142" s="5">
        <v>-14417.570000000011</v>
      </c>
      <c r="H142" s="5">
        <v>-12.0902318109876</v>
      </c>
      <c r="I142" s="1" t="s">
        <v>68</v>
      </c>
    </row>
    <row r="143" spans="1:9" x14ac:dyDescent="0.45">
      <c r="A143" s="1" t="s">
        <v>23</v>
      </c>
      <c r="B143" s="1" t="s">
        <v>31</v>
      </c>
      <c r="C143" s="1" t="s">
        <v>46</v>
      </c>
      <c r="D143" s="5">
        <v>81043.100000000006</v>
      </c>
      <c r="E143" s="5">
        <v>95453.119999999995</v>
      </c>
      <c r="F143" s="5" t="s">
        <v>66</v>
      </c>
      <c r="G143" s="5">
        <v>-14410.01999999999</v>
      </c>
      <c r="H143" s="5">
        <v>-15.096436868695321</v>
      </c>
      <c r="I143" s="1" t="s">
        <v>68</v>
      </c>
    </row>
    <row r="144" spans="1:9" x14ac:dyDescent="0.45">
      <c r="A144" s="1" t="s">
        <v>22</v>
      </c>
      <c r="B144" s="1" t="s">
        <v>27</v>
      </c>
      <c r="C144" s="1" t="s">
        <v>28</v>
      </c>
      <c r="D144" s="5">
        <v>379409.2</v>
      </c>
      <c r="E144" s="5">
        <v>365023.51</v>
      </c>
      <c r="F144" s="5" t="s">
        <v>66</v>
      </c>
      <c r="G144" s="5">
        <v>14385.69</v>
      </c>
      <c r="H144" s="5">
        <v>3.9410310859155349</v>
      </c>
      <c r="I144" s="1" t="s">
        <v>67</v>
      </c>
    </row>
    <row r="145" spans="1:9" x14ac:dyDescent="0.45">
      <c r="A145" s="1" t="s">
        <v>6</v>
      </c>
      <c r="B145" s="1" t="s">
        <v>31</v>
      </c>
      <c r="C145" s="1" t="s">
        <v>44</v>
      </c>
      <c r="D145" s="5">
        <v>114507.95</v>
      </c>
      <c r="E145" s="5">
        <v>128430.64</v>
      </c>
      <c r="F145" s="5" t="s">
        <v>66</v>
      </c>
      <c r="G145" s="5">
        <v>-13922.69</v>
      </c>
      <c r="H145" s="5">
        <v>-10.840629619224821</v>
      </c>
      <c r="I145" s="1" t="s">
        <v>68</v>
      </c>
    </row>
    <row r="146" spans="1:9" x14ac:dyDescent="0.45">
      <c r="A146" s="1" t="s">
        <v>24</v>
      </c>
      <c r="B146" s="1" t="s">
        <v>31</v>
      </c>
      <c r="C146" s="1" t="s">
        <v>52</v>
      </c>
      <c r="D146" s="5">
        <v>96378.72</v>
      </c>
      <c r="E146" s="5">
        <v>110290</v>
      </c>
      <c r="F146" s="5" t="s">
        <v>66</v>
      </c>
      <c r="G146" s="5">
        <v>-13911.28</v>
      </c>
      <c r="H146" s="5">
        <v>-12.613364765617909</v>
      </c>
      <c r="I146" s="1" t="s">
        <v>68</v>
      </c>
    </row>
    <row r="147" spans="1:9" x14ac:dyDescent="0.45">
      <c r="A147" s="1" t="s">
        <v>18</v>
      </c>
      <c r="B147" s="1" t="s">
        <v>31</v>
      </c>
      <c r="C147" s="1" t="s">
        <v>48</v>
      </c>
      <c r="D147" s="5">
        <v>105911.92</v>
      </c>
      <c r="E147" s="5">
        <v>119821.01</v>
      </c>
      <c r="F147" s="5" t="s">
        <v>66</v>
      </c>
      <c r="G147" s="5">
        <v>-13909.09</v>
      </c>
      <c r="H147" s="5">
        <v>-11.6082229652379</v>
      </c>
      <c r="I147" s="1" t="s">
        <v>68</v>
      </c>
    </row>
    <row r="148" spans="1:9" x14ac:dyDescent="0.45">
      <c r="A148" s="1" t="s">
        <v>12</v>
      </c>
      <c r="B148" s="1" t="s">
        <v>31</v>
      </c>
      <c r="C148" s="1" t="s">
        <v>44</v>
      </c>
      <c r="D148" s="5">
        <v>107484.35</v>
      </c>
      <c r="E148" s="5">
        <v>121326.02</v>
      </c>
      <c r="F148" s="5" t="s">
        <v>66</v>
      </c>
      <c r="G148" s="5">
        <v>-13841.67</v>
      </c>
      <c r="H148" s="5">
        <v>-11.40865743391236</v>
      </c>
      <c r="I148" s="1" t="s">
        <v>68</v>
      </c>
    </row>
    <row r="149" spans="1:9" x14ac:dyDescent="0.45">
      <c r="A149" s="1" t="s">
        <v>11</v>
      </c>
      <c r="B149" s="1" t="s">
        <v>31</v>
      </c>
      <c r="C149" s="1" t="s">
        <v>35</v>
      </c>
      <c r="D149" s="5">
        <v>84186.6</v>
      </c>
      <c r="E149" s="5">
        <v>70376.45</v>
      </c>
      <c r="F149" s="5" t="s">
        <v>66</v>
      </c>
      <c r="G149" s="5">
        <v>13810.150000000011</v>
      </c>
      <c r="H149" s="5">
        <v>19.623254654078188</v>
      </c>
      <c r="I149" s="1" t="s">
        <v>67</v>
      </c>
    </row>
    <row r="150" spans="1:9" x14ac:dyDescent="0.45">
      <c r="A150" s="1" t="s">
        <v>10</v>
      </c>
      <c r="B150" s="1" t="s">
        <v>31</v>
      </c>
      <c r="C150" s="1" t="s">
        <v>38</v>
      </c>
      <c r="D150" s="5">
        <v>123561.3</v>
      </c>
      <c r="E150" s="5">
        <v>137345.91</v>
      </c>
      <c r="F150" s="5" t="s">
        <v>66</v>
      </c>
      <c r="G150" s="5">
        <v>-13784.61</v>
      </c>
      <c r="H150" s="5">
        <v>-10.03641826684173</v>
      </c>
      <c r="I150" s="1" t="s">
        <v>68</v>
      </c>
    </row>
    <row r="151" spans="1:9" x14ac:dyDescent="0.45">
      <c r="A151" s="1" t="s">
        <v>21</v>
      </c>
      <c r="B151" s="1" t="s">
        <v>31</v>
      </c>
      <c r="C151" s="1" t="s">
        <v>37</v>
      </c>
      <c r="D151" s="5">
        <v>22395.55</v>
      </c>
      <c r="E151" s="5">
        <v>35894.160000000003</v>
      </c>
      <c r="F151" s="5" t="s">
        <v>66</v>
      </c>
      <c r="G151" s="5">
        <v>-13498.61</v>
      </c>
      <c r="H151" s="5">
        <v>-37.606702594516783</v>
      </c>
      <c r="I151" s="1" t="s">
        <v>68</v>
      </c>
    </row>
    <row r="152" spans="1:9" x14ac:dyDescent="0.45">
      <c r="A152" s="1" t="s">
        <v>12</v>
      </c>
      <c r="B152" s="1" t="s">
        <v>27</v>
      </c>
      <c r="C152" s="1" t="s">
        <v>29</v>
      </c>
      <c r="D152" s="5">
        <v>163124.95000000001</v>
      </c>
      <c r="E152" s="5">
        <v>176511.06</v>
      </c>
      <c r="F152" s="5" t="s">
        <v>66</v>
      </c>
      <c r="G152" s="5">
        <v>-13386.10999999999</v>
      </c>
      <c r="H152" s="5">
        <v>-7.5837230822816348</v>
      </c>
      <c r="I152" s="1" t="s">
        <v>68</v>
      </c>
    </row>
    <row r="153" spans="1:9" x14ac:dyDescent="0.45">
      <c r="A153" s="1" t="s">
        <v>11</v>
      </c>
      <c r="B153" s="1" t="s">
        <v>31</v>
      </c>
      <c r="C153" s="1" t="s">
        <v>52</v>
      </c>
      <c r="D153" s="5">
        <v>90796.24</v>
      </c>
      <c r="E153" s="5">
        <v>104162.6</v>
      </c>
      <c r="F153" s="5" t="s">
        <v>66</v>
      </c>
      <c r="G153" s="5">
        <v>-13366.36</v>
      </c>
      <c r="H153" s="5">
        <v>-12.83220656934447</v>
      </c>
      <c r="I153" s="1" t="s">
        <v>68</v>
      </c>
    </row>
    <row r="154" spans="1:9" x14ac:dyDescent="0.45">
      <c r="A154" s="1" t="s">
        <v>5</v>
      </c>
      <c r="B154" s="1" t="s">
        <v>31</v>
      </c>
      <c r="C154" s="1" t="s">
        <v>46</v>
      </c>
      <c r="D154" s="5">
        <v>87780.32</v>
      </c>
      <c r="E154" s="5">
        <v>101094.72</v>
      </c>
      <c r="F154" s="5" t="s">
        <v>66</v>
      </c>
      <c r="G154" s="5">
        <v>-13314.399999999991</v>
      </c>
      <c r="H154" s="5">
        <v>-13.1702229354807</v>
      </c>
      <c r="I154" s="1" t="s">
        <v>68</v>
      </c>
    </row>
    <row r="155" spans="1:9" x14ac:dyDescent="0.45">
      <c r="A155" s="1" t="s">
        <v>18</v>
      </c>
      <c r="B155" s="1" t="s">
        <v>54</v>
      </c>
      <c r="C155" s="1" t="s">
        <v>57</v>
      </c>
      <c r="D155" s="5">
        <v>390977.63</v>
      </c>
      <c r="E155" s="5">
        <v>404218.1</v>
      </c>
      <c r="F155" s="5" t="s">
        <v>66</v>
      </c>
      <c r="G155" s="5">
        <v>-13240.46999999997</v>
      </c>
      <c r="H155" s="5">
        <v>-3.2755757349806882</v>
      </c>
      <c r="I155" s="1" t="s">
        <v>67</v>
      </c>
    </row>
    <row r="156" spans="1:9" x14ac:dyDescent="0.45">
      <c r="A156" s="1" t="s">
        <v>7</v>
      </c>
      <c r="B156" s="1" t="s">
        <v>31</v>
      </c>
      <c r="C156" s="1" t="s">
        <v>38</v>
      </c>
      <c r="D156" s="5">
        <v>125326.98</v>
      </c>
      <c r="E156" s="5">
        <v>138434.6</v>
      </c>
      <c r="F156" s="5" t="s">
        <v>66</v>
      </c>
      <c r="G156" s="5">
        <v>-13107.62000000001</v>
      </c>
      <c r="H156" s="5">
        <v>-9.4684565852756535</v>
      </c>
      <c r="I156" s="1" t="s">
        <v>68</v>
      </c>
    </row>
    <row r="157" spans="1:9" x14ac:dyDescent="0.45">
      <c r="A157" s="1" t="s">
        <v>20</v>
      </c>
      <c r="B157" s="1" t="s">
        <v>31</v>
      </c>
      <c r="C157" s="1" t="s">
        <v>52</v>
      </c>
      <c r="D157" s="5">
        <v>95688.76</v>
      </c>
      <c r="E157" s="5">
        <v>108665.82</v>
      </c>
      <c r="F157" s="5" t="s">
        <v>66</v>
      </c>
      <c r="G157" s="5">
        <v>-12977.06000000001</v>
      </c>
      <c r="H157" s="5">
        <v>-11.94217280097828</v>
      </c>
      <c r="I157" s="1" t="s">
        <v>68</v>
      </c>
    </row>
    <row r="158" spans="1:9" x14ac:dyDescent="0.45">
      <c r="A158" s="1" t="s">
        <v>13</v>
      </c>
      <c r="B158" s="1" t="s">
        <v>31</v>
      </c>
      <c r="C158" s="1" t="s">
        <v>52</v>
      </c>
      <c r="D158" s="5">
        <v>99161.66</v>
      </c>
      <c r="E158" s="5">
        <v>111835.7</v>
      </c>
      <c r="F158" s="5" t="s">
        <v>66</v>
      </c>
      <c r="G158" s="5">
        <v>-12674.03999999999</v>
      </c>
      <c r="H158" s="5">
        <v>-11.332731855749101</v>
      </c>
      <c r="I158" s="1" t="s">
        <v>68</v>
      </c>
    </row>
    <row r="159" spans="1:9" x14ac:dyDescent="0.45">
      <c r="A159" s="1" t="s">
        <v>5</v>
      </c>
      <c r="B159" s="1" t="s">
        <v>31</v>
      </c>
      <c r="C159" s="1" t="s">
        <v>44</v>
      </c>
      <c r="D159" s="5">
        <v>111129.28</v>
      </c>
      <c r="E159" s="5">
        <v>123632.15</v>
      </c>
      <c r="F159" s="5" t="s">
        <v>66</v>
      </c>
      <c r="G159" s="5">
        <v>-12502.87</v>
      </c>
      <c r="H159" s="5">
        <v>-10.112960099779871</v>
      </c>
      <c r="I159" s="1" t="s">
        <v>68</v>
      </c>
    </row>
    <row r="160" spans="1:9" x14ac:dyDescent="0.45">
      <c r="A160" s="1" t="s">
        <v>18</v>
      </c>
      <c r="B160" s="1" t="s">
        <v>31</v>
      </c>
      <c r="C160" s="1" t="s">
        <v>47</v>
      </c>
      <c r="D160" s="5">
        <v>75458.649999999994</v>
      </c>
      <c r="E160" s="5">
        <v>87901.54</v>
      </c>
      <c r="F160" s="5" t="s">
        <v>66</v>
      </c>
      <c r="G160" s="5">
        <v>-12442.89</v>
      </c>
      <c r="H160" s="5">
        <v>-14.155485785573269</v>
      </c>
      <c r="I160" s="1" t="s">
        <v>68</v>
      </c>
    </row>
    <row r="161" spans="1:9" x14ac:dyDescent="0.45">
      <c r="A161" s="1" t="s">
        <v>15</v>
      </c>
      <c r="B161" s="1" t="s">
        <v>31</v>
      </c>
      <c r="C161" s="1" t="s">
        <v>44</v>
      </c>
      <c r="D161" s="5">
        <v>110164.72</v>
      </c>
      <c r="E161" s="5">
        <v>122491.21</v>
      </c>
      <c r="F161" s="5" t="s">
        <v>66</v>
      </c>
      <c r="G161" s="5">
        <v>-12326.490000000011</v>
      </c>
      <c r="H161" s="5">
        <v>-10.063162899607249</v>
      </c>
      <c r="I161" s="1" t="s">
        <v>68</v>
      </c>
    </row>
    <row r="162" spans="1:9" x14ac:dyDescent="0.45">
      <c r="A162" s="1" t="s">
        <v>18</v>
      </c>
      <c r="B162" s="1" t="s">
        <v>27</v>
      </c>
      <c r="C162" s="1" t="s">
        <v>28</v>
      </c>
      <c r="D162" s="5">
        <v>329925.13</v>
      </c>
      <c r="E162" s="5">
        <v>317655.26</v>
      </c>
      <c r="F162" s="5" t="s">
        <v>66</v>
      </c>
      <c r="G162" s="5">
        <v>12269.87</v>
      </c>
      <c r="H162" s="5">
        <v>3.8626371242837259</v>
      </c>
      <c r="I162" s="1" t="s">
        <v>67</v>
      </c>
    </row>
    <row r="163" spans="1:9" x14ac:dyDescent="0.45">
      <c r="A163" s="1" t="s">
        <v>14</v>
      </c>
      <c r="B163" s="1" t="s">
        <v>31</v>
      </c>
      <c r="C163" s="1" t="s">
        <v>47</v>
      </c>
      <c r="D163" s="5">
        <v>73211.83</v>
      </c>
      <c r="E163" s="5">
        <v>85468.61</v>
      </c>
      <c r="F163" s="5" t="s">
        <v>66</v>
      </c>
      <c r="G163" s="5">
        <v>-12256.78</v>
      </c>
      <c r="H163" s="5">
        <v>-14.340680163161659</v>
      </c>
      <c r="I163" s="1" t="s">
        <v>68</v>
      </c>
    </row>
    <row r="164" spans="1:9" x14ac:dyDescent="0.45">
      <c r="A164" s="1" t="s">
        <v>26</v>
      </c>
      <c r="B164" s="1" t="s">
        <v>54</v>
      </c>
      <c r="C164" s="1" t="s">
        <v>57</v>
      </c>
      <c r="D164" s="5">
        <v>466747.76</v>
      </c>
      <c r="E164" s="5">
        <v>454497.63</v>
      </c>
      <c r="F164" s="5" t="s">
        <v>66</v>
      </c>
      <c r="G164" s="5">
        <v>12250.13</v>
      </c>
      <c r="H164" s="5">
        <v>2.6953121845761889</v>
      </c>
      <c r="I164" s="1" t="s">
        <v>68</v>
      </c>
    </row>
    <row r="165" spans="1:9" x14ac:dyDescent="0.45">
      <c r="A165" s="1" t="s">
        <v>21</v>
      </c>
      <c r="B165" s="1" t="s">
        <v>54</v>
      </c>
      <c r="C165" s="1" t="s">
        <v>58</v>
      </c>
      <c r="D165" s="5">
        <v>224948.78</v>
      </c>
      <c r="E165" s="5">
        <v>213047.28</v>
      </c>
      <c r="F165" s="5" t="s">
        <v>66</v>
      </c>
      <c r="G165" s="5">
        <v>11901.5</v>
      </c>
      <c r="H165" s="5">
        <v>5.586318680060125</v>
      </c>
      <c r="I165" s="1" t="s">
        <v>68</v>
      </c>
    </row>
    <row r="166" spans="1:9" x14ac:dyDescent="0.45">
      <c r="A166" s="1" t="s">
        <v>12</v>
      </c>
      <c r="B166" s="1" t="s">
        <v>27</v>
      </c>
      <c r="C166" s="1" t="s">
        <v>30</v>
      </c>
      <c r="D166" s="5">
        <v>54374.98</v>
      </c>
      <c r="E166" s="5">
        <v>66203.17</v>
      </c>
      <c r="F166" s="5" t="s">
        <v>66</v>
      </c>
      <c r="G166" s="5">
        <v>-11828.19</v>
      </c>
      <c r="H166" s="5">
        <v>-17.866500954561531</v>
      </c>
      <c r="I166" s="1" t="s">
        <v>68</v>
      </c>
    </row>
    <row r="167" spans="1:9" x14ac:dyDescent="0.45">
      <c r="A167" s="1" t="s">
        <v>24</v>
      </c>
      <c r="B167" s="1" t="s">
        <v>31</v>
      </c>
      <c r="C167" s="1" t="s">
        <v>53</v>
      </c>
      <c r="D167" s="5">
        <v>84291.04</v>
      </c>
      <c r="E167" s="5">
        <v>72512.53</v>
      </c>
      <c r="F167" s="5" t="s">
        <v>66</v>
      </c>
      <c r="G167" s="5">
        <v>11778.509999999989</v>
      </c>
      <c r="H167" s="5">
        <v>16.243413379728981</v>
      </c>
      <c r="I167" s="1" t="s">
        <v>67</v>
      </c>
    </row>
    <row r="168" spans="1:9" x14ac:dyDescent="0.45">
      <c r="A168" s="1" t="s">
        <v>7</v>
      </c>
      <c r="B168" s="1" t="s">
        <v>31</v>
      </c>
      <c r="C168" s="1" t="s">
        <v>49</v>
      </c>
      <c r="D168" s="5">
        <v>150692.91</v>
      </c>
      <c r="E168" s="5">
        <v>162437.35999999999</v>
      </c>
      <c r="F168" s="5" t="s">
        <v>66</v>
      </c>
      <c r="G168" s="5">
        <v>-11744.449999999981</v>
      </c>
      <c r="H168" s="5">
        <v>-7.2301408986208484</v>
      </c>
      <c r="I168" s="1" t="s">
        <v>68</v>
      </c>
    </row>
    <row r="169" spans="1:9" x14ac:dyDescent="0.45">
      <c r="A169" s="1" t="s">
        <v>10</v>
      </c>
      <c r="B169" s="1" t="s">
        <v>31</v>
      </c>
      <c r="C169" s="1" t="s">
        <v>48</v>
      </c>
      <c r="D169" s="5">
        <v>83876.53</v>
      </c>
      <c r="E169" s="5">
        <v>95606.37</v>
      </c>
      <c r="F169" s="5" t="s">
        <v>66</v>
      </c>
      <c r="G169" s="5">
        <v>-11729.84</v>
      </c>
      <c r="H169" s="5">
        <v>-12.268889614781941</v>
      </c>
      <c r="I169" s="1" t="s">
        <v>68</v>
      </c>
    </row>
    <row r="170" spans="1:9" x14ac:dyDescent="0.45">
      <c r="A170" s="1" t="s">
        <v>13</v>
      </c>
      <c r="B170" s="1" t="s">
        <v>31</v>
      </c>
      <c r="C170" s="1" t="s">
        <v>53</v>
      </c>
      <c r="D170" s="5">
        <v>36748.31</v>
      </c>
      <c r="E170" s="5">
        <v>48389.9</v>
      </c>
      <c r="F170" s="5" t="s">
        <v>66</v>
      </c>
      <c r="G170" s="5">
        <v>-11641.59</v>
      </c>
      <c r="H170" s="5">
        <v>-24.057892246109219</v>
      </c>
      <c r="I170" s="1" t="s">
        <v>68</v>
      </c>
    </row>
    <row r="171" spans="1:9" x14ac:dyDescent="0.45">
      <c r="A171" s="1" t="s">
        <v>16</v>
      </c>
      <c r="B171" s="1" t="s">
        <v>54</v>
      </c>
      <c r="C171" s="1" t="s">
        <v>56</v>
      </c>
      <c r="D171" s="5">
        <v>533967.72</v>
      </c>
      <c r="E171" s="5">
        <v>545556.09</v>
      </c>
      <c r="F171" s="5" t="s">
        <v>66</v>
      </c>
      <c r="G171" s="5">
        <v>-11588.37</v>
      </c>
      <c r="H171" s="5">
        <v>-2.1241390596519589</v>
      </c>
      <c r="I171" s="1" t="s">
        <v>67</v>
      </c>
    </row>
    <row r="172" spans="1:9" x14ac:dyDescent="0.45">
      <c r="A172" s="1" t="s">
        <v>21</v>
      </c>
      <c r="B172" s="1" t="s">
        <v>31</v>
      </c>
      <c r="C172" s="1" t="s">
        <v>44</v>
      </c>
      <c r="D172" s="5">
        <v>117962.79</v>
      </c>
      <c r="E172" s="5">
        <v>129459.56</v>
      </c>
      <c r="F172" s="5" t="s">
        <v>66</v>
      </c>
      <c r="G172" s="5">
        <v>-11496.77</v>
      </c>
      <c r="H172" s="5">
        <v>-8.88058788396933</v>
      </c>
      <c r="I172" s="1" t="s">
        <v>68</v>
      </c>
    </row>
    <row r="173" spans="1:9" x14ac:dyDescent="0.45">
      <c r="A173" s="1" t="s">
        <v>10</v>
      </c>
      <c r="B173" s="1" t="s">
        <v>31</v>
      </c>
      <c r="C173" s="1" t="s">
        <v>47</v>
      </c>
      <c r="D173" s="5">
        <v>81310.23</v>
      </c>
      <c r="E173" s="5">
        <v>92798.89</v>
      </c>
      <c r="F173" s="5" t="s">
        <v>66</v>
      </c>
      <c r="G173" s="5">
        <v>-11488.66</v>
      </c>
      <c r="H173" s="5">
        <v>-12.380169633494541</v>
      </c>
      <c r="I173" s="1" t="s">
        <v>68</v>
      </c>
    </row>
    <row r="174" spans="1:9" x14ac:dyDescent="0.45">
      <c r="A174" s="1" t="s">
        <v>16</v>
      </c>
      <c r="B174" s="1" t="s">
        <v>31</v>
      </c>
      <c r="C174" s="1" t="s">
        <v>48</v>
      </c>
      <c r="D174" s="5">
        <v>108963.61</v>
      </c>
      <c r="E174" s="5">
        <v>120310.78</v>
      </c>
      <c r="F174" s="5" t="s">
        <v>66</v>
      </c>
      <c r="G174" s="5">
        <v>-11347.17</v>
      </c>
      <c r="H174" s="5">
        <v>-9.4315488603764326</v>
      </c>
      <c r="I174" s="1" t="s">
        <v>68</v>
      </c>
    </row>
    <row r="175" spans="1:9" x14ac:dyDescent="0.45">
      <c r="A175" s="1" t="s">
        <v>23</v>
      </c>
      <c r="B175" s="1" t="s">
        <v>31</v>
      </c>
      <c r="C175" s="1" t="s">
        <v>44</v>
      </c>
      <c r="D175" s="5">
        <v>120211.95</v>
      </c>
      <c r="E175" s="5">
        <v>131518.39999999999</v>
      </c>
      <c r="F175" s="5" t="s">
        <v>66</v>
      </c>
      <c r="G175" s="5">
        <v>-11306.45</v>
      </c>
      <c r="H175" s="5">
        <v>-8.5968579301451342</v>
      </c>
      <c r="I175" s="1" t="s">
        <v>68</v>
      </c>
    </row>
    <row r="176" spans="1:9" x14ac:dyDescent="0.45">
      <c r="A176" s="1" t="s">
        <v>8</v>
      </c>
      <c r="B176" s="1" t="s">
        <v>31</v>
      </c>
      <c r="C176" s="1" t="s">
        <v>48</v>
      </c>
      <c r="D176" s="5">
        <v>170474.81</v>
      </c>
      <c r="E176" s="5">
        <v>159222.75</v>
      </c>
      <c r="F176" s="5" t="s">
        <v>66</v>
      </c>
      <c r="G176" s="5">
        <v>11252.06</v>
      </c>
      <c r="H176" s="5">
        <v>7.066867014920919</v>
      </c>
      <c r="I176" s="1" t="s">
        <v>67</v>
      </c>
    </row>
    <row r="177" spans="1:9" x14ac:dyDescent="0.45">
      <c r="A177" s="1" t="s">
        <v>3</v>
      </c>
      <c r="B177" s="1" t="s">
        <v>31</v>
      </c>
      <c r="C177" s="1" t="s">
        <v>38</v>
      </c>
      <c r="D177" s="5">
        <v>117037.15</v>
      </c>
      <c r="E177" s="5">
        <v>127923.95</v>
      </c>
      <c r="F177" s="5" t="s">
        <v>66</v>
      </c>
      <c r="G177" s="5">
        <v>-10886.8</v>
      </c>
      <c r="H177" s="5">
        <v>-8.5103688558710111</v>
      </c>
      <c r="I177" s="1" t="s">
        <v>68</v>
      </c>
    </row>
    <row r="178" spans="1:9" x14ac:dyDescent="0.45">
      <c r="A178" s="1" t="s">
        <v>25</v>
      </c>
      <c r="B178" s="1" t="s">
        <v>31</v>
      </c>
      <c r="C178" s="1" t="s">
        <v>49</v>
      </c>
      <c r="D178" s="5">
        <v>159021.97</v>
      </c>
      <c r="E178" s="5">
        <v>169901.2</v>
      </c>
      <c r="F178" s="5" t="s">
        <v>66</v>
      </c>
      <c r="G178" s="5">
        <v>-10879.23000000001</v>
      </c>
      <c r="H178" s="5">
        <v>-6.4032684878035058</v>
      </c>
      <c r="I178" s="1" t="s">
        <v>68</v>
      </c>
    </row>
    <row r="179" spans="1:9" x14ac:dyDescent="0.45">
      <c r="A179" s="1" t="s">
        <v>13</v>
      </c>
      <c r="B179" s="1" t="s">
        <v>31</v>
      </c>
      <c r="C179" s="1" t="s">
        <v>46</v>
      </c>
      <c r="D179" s="5">
        <v>80751.44</v>
      </c>
      <c r="E179" s="5">
        <v>91574.97</v>
      </c>
      <c r="F179" s="5" t="s">
        <v>66</v>
      </c>
      <c r="G179" s="5">
        <v>-10823.53</v>
      </c>
      <c r="H179" s="5">
        <v>-11.81931045131655</v>
      </c>
      <c r="I179" s="1" t="s">
        <v>68</v>
      </c>
    </row>
    <row r="180" spans="1:9" x14ac:dyDescent="0.45">
      <c r="A180" s="1" t="s">
        <v>20</v>
      </c>
      <c r="B180" s="1" t="s">
        <v>27</v>
      </c>
      <c r="C180" s="1" t="s">
        <v>29</v>
      </c>
      <c r="D180" s="5">
        <v>191002.1</v>
      </c>
      <c r="E180" s="5">
        <v>180203.76</v>
      </c>
      <c r="F180" s="5" t="s">
        <v>66</v>
      </c>
      <c r="G180" s="5">
        <v>10798.34</v>
      </c>
      <c r="H180" s="5">
        <v>5.992294500403319</v>
      </c>
      <c r="I180" s="1" t="s">
        <v>67</v>
      </c>
    </row>
    <row r="181" spans="1:9" x14ac:dyDescent="0.45">
      <c r="A181" s="1" t="s">
        <v>15</v>
      </c>
      <c r="B181" s="1" t="s">
        <v>31</v>
      </c>
      <c r="C181" s="1" t="s">
        <v>38</v>
      </c>
      <c r="D181" s="5">
        <v>128813.56</v>
      </c>
      <c r="E181" s="5">
        <v>139435.23000000001</v>
      </c>
      <c r="F181" s="5" t="s">
        <v>66</v>
      </c>
      <c r="G181" s="5">
        <v>-10621.670000000009</v>
      </c>
      <c r="H181" s="5">
        <v>-7.6176372355824364</v>
      </c>
      <c r="I181" s="1" t="s">
        <v>68</v>
      </c>
    </row>
    <row r="182" spans="1:9" x14ac:dyDescent="0.45">
      <c r="A182" s="1" t="s">
        <v>11</v>
      </c>
      <c r="B182" s="1" t="s">
        <v>31</v>
      </c>
      <c r="C182" s="1" t="s">
        <v>43</v>
      </c>
      <c r="D182" s="5">
        <v>33780.519999999997</v>
      </c>
      <c r="E182" s="5">
        <v>44257.19</v>
      </c>
      <c r="F182" s="5" t="s">
        <v>66</v>
      </c>
      <c r="G182" s="5">
        <v>-10476.670000000009</v>
      </c>
      <c r="H182" s="5">
        <v>-23.67224399018556</v>
      </c>
      <c r="I182" s="1" t="s">
        <v>68</v>
      </c>
    </row>
    <row r="183" spans="1:9" x14ac:dyDescent="0.45">
      <c r="A183" s="1" t="s">
        <v>11</v>
      </c>
      <c r="B183" s="1" t="s">
        <v>31</v>
      </c>
      <c r="C183" s="1" t="s">
        <v>48</v>
      </c>
      <c r="D183" s="5">
        <v>109288.29</v>
      </c>
      <c r="E183" s="5">
        <v>119721.33</v>
      </c>
      <c r="F183" s="5" t="s">
        <v>66</v>
      </c>
      <c r="G183" s="5">
        <v>-10433.04000000001</v>
      </c>
      <c r="H183" s="5">
        <v>-8.7144371015591027</v>
      </c>
      <c r="I183" s="1" t="s">
        <v>68</v>
      </c>
    </row>
    <row r="184" spans="1:9" x14ac:dyDescent="0.45">
      <c r="A184" s="1" t="s">
        <v>16</v>
      </c>
      <c r="B184" s="1" t="s">
        <v>31</v>
      </c>
      <c r="C184" s="1" t="s">
        <v>49</v>
      </c>
      <c r="D184" s="5">
        <v>165731.91</v>
      </c>
      <c r="E184" s="5">
        <v>176136.53</v>
      </c>
      <c r="F184" s="5" t="s">
        <v>66</v>
      </c>
      <c r="G184" s="5">
        <v>-10404.620000000001</v>
      </c>
      <c r="H184" s="5">
        <v>-5.9071335173913084</v>
      </c>
      <c r="I184" s="1" t="s">
        <v>68</v>
      </c>
    </row>
    <row r="185" spans="1:9" x14ac:dyDescent="0.45">
      <c r="A185" s="1" t="s">
        <v>17</v>
      </c>
      <c r="B185" s="1" t="s">
        <v>27</v>
      </c>
      <c r="C185" s="1" t="s">
        <v>29</v>
      </c>
      <c r="D185" s="5">
        <v>166505.93</v>
      </c>
      <c r="E185" s="5">
        <v>156130.84</v>
      </c>
      <c r="F185" s="5" t="s">
        <v>66</v>
      </c>
      <c r="G185" s="5">
        <v>10375.09</v>
      </c>
      <c r="H185" s="5">
        <v>6.6451253320612356</v>
      </c>
      <c r="I185" s="1" t="s">
        <v>67</v>
      </c>
    </row>
    <row r="186" spans="1:9" x14ac:dyDescent="0.45">
      <c r="A186" s="1" t="s">
        <v>23</v>
      </c>
      <c r="B186" s="1" t="s">
        <v>54</v>
      </c>
      <c r="C186" s="1" t="s">
        <v>56</v>
      </c>
      <c r="D186" s="5">
        <v>751284.07</v>
      </c>
      <c r="E186" s="5">
        <v>761634.57</v>
      </c>
      <c r="F186" s="5" t="s">
        <v>66</v>
      </c>
      <c r="G186" s="5">
        <v>-10350.5</v>
      </c>
      <c r="H186" s="5">
        <v>-1.3589850576241569</v>
      </c>
      <c r="I186" s="1" t="s">
        <v>67</v>
      </c>
    </row>
    <row r="187" spans="1:9" x14ac:dyDescent="0.45">
      <c r="A187" s="1" t="s">
        <v>23</v>
      </c>
      <c r="B187" s="1" t="s">
        <v>31</v>
      </c>
      <c r="C187" s="1" t="s">
        <v>51</v>
      </c>
      <c r="D187" s="5">
        <v>35915.730000000003</v>
      </c>
      <c r="E187" s="5">
        <v>46055.13</v>
      </c>
      <c r="F187" s="5" t="s">
        <v>66</v>
      </c>
      <c r="G187" s="5">
        <v>-10139.399999999991</v>
      </c>
      <c r="H187" s="5">
        <v>-22.015788469167269</v>
      </c>
      <c r="I187" s="1" t="s">
        <v>68</v>
      </c>
    </row>
    <row r="188" spans="1:9" x14ac:dyDescent="0.45">
      <c r="A188" s="1" t="s">
        <v>8</v>
      </c>
      <c r="B188" s="1" t="s">
        <v>31</v>
      </c>
      <c r="C188" s="1" t="s">
        <v>47</v>
      </c>
      <c r="D188" s="5">
        <v>74515.09</v>
      </c>
      <c r="E188" s="5">
        <v>84611.99</v>
      </c>
      <c r="F188" s="5" t="s">
        <v>66</v>
      </c>
      <c r="G188" s="5">
        <v>-10096.900000000011</v>
      </c>
      <c r="H188" s="5">
        <v>-11.93317873743427</v>
      </c>
      <c r="I188" s="1" t="s">
        <v>68</v>
      </c>
    </row>
    <row r="189" spans="1:9" x14ac:dyDescent="0.45">
      <c r="A189" s="1" t="s">
        <v>25</v>
      </c>
      <c r="B189" s="1" t="s">
        <v>31</v>
      </c>
      <c r="C189" s="1" t="s">
        <v>47</v>
      </c>
      <c r="D189" s="5">
        <v>90663.29</v>
      </c>
      <c r="E189" s="5">
        <v>100751.15</v>
      </c>
      <c r="F189" s="5" t="s">
        <v>66</v>
      </c>
      <c r="G189" s="5">
        <v>-10087.86</v>
      </c>
      <c r="H189" s="5">
        <v>-10.012649979677651</v>
      </c>
      <c r="I189" s="1" t="s">
        <v>68</v>
      </c>
    </row>
    <row r="190" spans="1:9" x14ac:dyDescent="0.45">
      <c r="A190" s="1" t="s">
        <v>15</v>
      </c>
      <c r="B190" s="1" t="s">
        <v>31</v>
      </c>
      <c r="C190" s="1" t="s">
        <v>47</v>
      </c>
      <c r="D190" s="5">
        <v>83942.43</v>
      </c>
      <c r="E190" s="5">
        <v>93916.56</v>
      </c>
      <c r="F190" s="5" t="s">
        <v>66</v>
      </c>
      <c r="G190" s="5">
        <v>-9974.1300000000047</v>
      </c>
      <c r="H190" s="5">
        <v>-10.620203721260671</v>
      </c>
      <c r="I190" s="1" t="s">
        <v>68</v>
      </c>
    </row>
    <row r="191" spans="1:9" x14ac:dyDescent="0.45">
      <c r="A191" s="1" t="s">
        <v>10</v>
      </c>
      <c r="B191" s="1" t="s">
        <v>31</v>
      </c>
      <c r="C191" s="1" t="s">
        <v>53</v>
      </c>
      <c r="D191" s="5">
        <v>40414.44</v>
      </c>
      <c r="E191" s="5">
        <v>50352.33</v>
      </c>
      <c r="F191" s="5" t="s">
        <v>66</v>
      </c>
      <c r="G191" s="5">
        <v>-9937.89</v>
      </c>
      <c r="H191" s="5">
        <v>-19.73670334620066</v>
      </c>
      <c r="I191" s="1" t="s">
        <v>68</v>
      </c>
    </row>
    <row r="192" spans="1:9" x14ac:dyDescent="0.45">
      <c r="A192" s="1" t="s">
        <v>7</v>
      </c>
      <c r="B192" s="1" t="s">
        <v>27</v>
      </c>
      <c r="C192" s="1" t="s">
        <v>30</v>
      </c>
      <c r="D192" s="5">
        <v>45321.63</v>
      </c>
      <c r="E192" s="5">
        <v>55258.12</v>
      </c>
      <c r="F192" s="5" t="s">
        <v>66</v>
      </c>
      <c r="G192" s="5">
        <v>-9936.4900000000052</v>
      </c>
      <c r="H192" s="5">
        <v>-17.981954507319479</v>
      </c>
      <c r="I192" s="1" t="s">
        <v>68</v>
      </c>
    </row>
    <row r="193" spans="1:9" x14ac:dyDescent="0.45">
      <c r="A193" s="1" t="s">
        <v>19</v>
      </c>
      <c r="B193" s="1" t="s">
        <v>31</v>
      </c>
      <c r="C193" s="1" t="s">
        <v>48</v>
      </c>
      <c r="D193" s="5">
        <v>95623.01</v>
      </c>
      <c r="E193" s="5">
        <v>105448.2</v>
      </c>
      <c r="F193" s="5" t="s">
        <v>66</v>
      </c>
      <c r="G193" s="5">
        <v>-9825.1900000000023</v>
      </c>
      <c r="H193" s="5">
        <v>-9.3175511767863295</v>
      </c>
      <c r="I193" s="1" t="s">
        <v>68</v>
      </c>
    </row>
    <row r="194" spans="1:9" x14ac:dyDescent="0.45">
      <c r="A194" s="1" t="s">
        <v>24</v>
      </c>
      <c r="B194" s="1" t="s">
        <v>31</v>
      </c>
      <c r="C194" s="1" t="s">
        <v>46</v>
      </c>
      <c r="D194" s="5">
        <v>100408.88</v>
      </c>
      <c r="E194" s="5">
        <v>110207.77</v>
      </c>
      <c r="F194" s="5" t="s">
        <v>66</v>
      </c>
      <c r="G194" s="5">
        <v>-9798.89</v>
      </c>
      <c r="H194" s="5">
        <v>-8.8912877921402433</v>
      </c>
      <c r="I194" s="1" t="s">
        <v>68</v>
      </c>
    </row>
    <row r="195" spans="1:9" x14ac:dyDescent="0.45">
      <c r="A195" s="1" t="s">
        <v>14</v>
      </c>
      <c r="B195" s="1" t="s">
        <v>27</v>
      </c>
      <c r="C195" s="1" t="s">
        <v>30</v>
      </c>
      <c r="D195" s="5">
        <v>65397.62</v>
      </c>
      <c r="E195" s="5">
        <v>75079.509999999995</v>
      </c>
      <c r="F195" s="5" t="s">
        <v>66</v>
      </c>
      <c r="G195" s="5">
        <v>-9681.8899999999921</v>
      </c>
      <c r="H195" s="5">
        <v>-12.8955157006219</v>
      </c>
      <c r="I195" s="1" t="s">
        <v>68</v>
      </c>
    </row>
    <row r="196" spans="1:9" x14ac:dyDescent="0.45">
      <c r="A196" s="1" t="s">
        <v>5</v>
      </c>
      <c r="B196" s="1" t="s">
        <v>27</v>
      </c>
      <c r="C196" s="1" t="s">
        <v>30</v>
      </c>
      <c r="D196" s="5">
        <v>43731</v>
      </c>
      <c r="E196" s="5">
        <v>53364.51</v>
      </c>
      <c r="F196" s="5" t="s">
        <v>66</v>
      </c>
      <c r="G196" s="5">
        <v>-9633.510000000002</v>
      </c>
      <c r="H196" s="5">
        <v>-18.052278564911401</v>
      </c>
      <c r="I196" s="1" t="s">
        <v>68</v>
      </c>
    </row>
    <row r="197" spans="1:9" x14ac:dyDescent="0.45">
      <c r="A197" s="1" t="s">
        <v>11</v>
      </c>
      <c r="B197" s="1" t="s">
        <v>31</v>
      </c>
      <c r="C197" s="1" t="s">
        <v>47</v>
      </c>
      <c r="D197" s="5">
        <v>71885.33</v>
      </c>
      <c r="E197" s="5">
        <v>81515.38</v>
      </c>
      <c r="F197" s="5" t="s">
        <v>66</v>
      </c>
      <c r="G197" s="5">
        <v>-9630.0500000000029</v>
      </c>
      <c r="H197" s="5">
        <v>-11.81378287140415</v>
      </c>
      <c r="I197" s="1" t="s">
        <v>68</v>
      </c>
    </row>
    <row r="198" spans="1:9" x14ac:dyDescent="0.45">
      <c r="A198" s="1" t="s">
        <v>26</v>
      </c>
      <c r="B198" s="1" t="s">
        <v>27</v>
      </c>
      <c r="C198" s="1" t="s">
        <v>29</v>
      </c>
      <c r="D198" s="5">
        <v>226939.85</v>
      </c>
      <c r="E198" s="5">
        <v>236524.65</v>
      </c>
      <c r="F198" s="5" t="s">
        <v>66</v>
      </c>
      <c r="G198" s="5">
        <v>-9584.7999999999884</v>
      </c>
      <c r="H198" s="5">
        <v>-4.0523471866462923</v>
      </c>
      <c r="I198" s="1" t="s">
        <v>68</v>
      </c>
    </row>
    <row r="199" spans="1:9" x14ac:dyDescent="0.45">
      <c r="A199" s="1" t="s">
        <v>4</v>
      </c>
      <c r="B199" s="1" t="s">
        <v>31</v>
      </c>
      <c r="C199" s="1" t="s">
        <v>47</v>
      </c>
      <c r="D199" s="5">
        <v>85952.35</v>
      </c>
      <c r="E199" s="5">
        <v>95333.98</v>
      </c>
      <c r="F199" s="5" t="s">
        <v>66</v>
      </c>
      <c r="G199" s="5">
        <v>-9381.6299999999901</v>
      </c>
      <c r="H199" s="5">
        <v>-9.8408038770645998</v>
      </c>
      <c r="I199" s="1" t="s">
        <v>68</v>
      </c>
    </row>
    <row r="200" spans="1:9" x14ac:dyDescent="0.45">
      <c r="A200" s="1" t="s">
        <v>16</v>
      </c>
      <c r="B200" s="1" t="s">
        <v>27</v>
      </c>
      <c r="C200" s="1" t="s">
        <v>28</v>
      </c>
      <c r="D200" s="5">
        <v>282574.14</v>
      </c>
      <c r="E200" s="5">
        <v>273249.26</v>
      </c>
      <c r="F200" s="5" t="s">
        <v>66</v>
      </c>
      <c r="G200" s="5">
        <v>9324.8800000000047</v>
      </c>
      <c r="H200" s="5">
        <v>3.412591126504791</v>
      </c>
      <c r="I200" s="1" t="s">
        <v>67</v>
      </c>
    </row>
    <row r="201" spans="1:9" x14ac:dyDescent="0.45">
      <c r="A201" s="1" t="s">
        <v>9</v>
      </c>
      <c r="B201" s="1" t="s">
        <v>27</v>
      </c>
      <c r="C201" s="1" t="s">
        <v>30</v>
      </c>
      <c r="D201" s="5">
        <v>50225.33</v>
      </c>
      <c r="E201" s="5">
        <v>59510.51</v>
      </c>
      <c r="F201" s="5" t="s">
        <v>66</v>
      </c>
      <c r="G201" s="5">
        <v>-9285.18</v>
      </c>
      <c r="H201" s="5">
        <v>-15.60258851755766</v>
      </c>
      <c r="I201" s="1" t="s">
        <v>68</v>
      </c>
    </row>
    <row r="202" spans="1:9" x14ac:dyDescent="0.45">
      <c r="A202" s="1" t="s">
        <v>5</v>
      </c>
      <c r="B202" s="1" t="s">
        <v>31</v>
      </c>
      <c r="C202" s="1" t="s">
        <v>47</v>
      </c>
      <c r="D202" s="5">
        <v>76375.8</v>
      </c>
      <c r="E202" s="5">
        <v>85510.98</v>
      </c>
      <c r="F202" s="5" t="s">
        <v>66</v>
      </c>
      <c r="G202" s="5">
        <v>-9135.179999999993</v>
      </c>
      <c r="H202" s="5">
        <v>-10.683049124217719</v>
      </c>
      <c r="I202" s="1" t="s">
        <v>68</v>
      </c>
    </row>
    <row r="203" spans="1:9" x14ac:dyDescent="0.45">
      <c r="A203" s="1" t="s">
        <v>3</v>
      </c>
      <c r="B203" s="1" t="s">
        <v>54</v>
      </c>
      <c r="C203" s="1" t="s">
        <v>55</v>
      </c>
      <c r="D203" s="5">
        <v>49372.7</v>
      </c>
      <c r="E203" s="5">
        <v>58223.56</v>
      </c>
      <c r="F203" s="5" t="s">
        <v>66</v>
      </c>
      <c r="G203" s="5">
        <v>-8850.86</v>
      </c>
      <c r="H203" s="5">
        <v>-15.201509492033811</v>
      </c>
      <c r="I203" s="1" t="s">
        <v>67</v>
      </c>
    </row>
    <row r="204" spans="1:9" x14ac:dyDescent="0.45">
      <c r="A204" s="1" t="s">
        <v>19</v>
      </c>
      <c r="B204" s="1" t="s">
        <v>27</v>
      </c>
      <c r="C204" s="1" t="s">
        <v>29</v>
      </c>
      <c r="D204" s="5">
        <v>163492.35</v>
      </c>
      <c r="E204" s="5">
        <v>172342.13</v>
      </c>
      <c r="F204" s="5" t="s">
        <v>66</v>
      </c>
      <c r="G204" s="5">
        <v>-8849.7799999999988</v>
      </c>
      <c r="H204" s="5">
        <v>-5.1350067450135377</v>
      </c>
      <c r="I204" s="1" t="s">
        <v>68</v>
      </c>
    </row>
    <row r="205" spans="1:9" x14ac:dyDescent="0.45">
      <c r="A205" s="1" t="s">
        <v>22</v>
      </c>
      <c r="B205" s="1" t="s">
        <v>31</v>
      </c>
      <c r="C205" s="1" t="s">
        <v>46</v>
      </c>
      <c r="D205" s="5">
        <v>87475.4</v>
      </c>
      <c r="E205" s="5">
        <v>96314.98</v>
      </c>
      <c r="F205" s="5" t="s">
        <v>66</v>
      </c>
      <c r="G205" s="5">
        <v>-8839.5800000000017</v>
      </c>
      <c r="H205" s="5">
        <v>-9.1777831444288331</v>
      </c>
      <c r="I205" s="1" t="s">
        <v>68</v>
      </c>
    </row>
    <row r="206" spans="1:9" x14ac:dyDescent="0.45">
      <c r="A206" s="1" t="s">
        <v>25</v>
      </c>
      <c r="B206" s="1" t="s">
        <v>31</v>
      </c>
      <c r="C206" s="1" t="s">
        <v>52</v>
      </c>
      <c r="D206" s="5">
        <v>95318.6</v>
      </c>
      <c r="E206" s="5">
        <v>104095.59</v>
      </c>
      <c r="F206" s="5" t="s">
        <v>66</v>
      </c>
      <c r="G206" s="5">
        <v>-8776.9899999999907</v>
      </c>
      <c r="H206" s="5">
        <v>-8.4316636276330161</v>
      </c>
      <c r="I206" s="1" t="s">
        <v>68</v>
      </c>
    </row>
    <row r="207" spans="1:9" x14ac:dyDescent="0.45">
      <c r="A207" s="1" t="s">
        <v>5</v>
      </c>
      <c r="B207" s="1" t="s">
        <v>31</v>
      </c>
      <c r="C207" s="1" t="s">
        <v>48</v>
      </c>
      <c r="D207" s="5">
        <v>89993.73</v>
      </c>
      <c r="E207" s="5">
        <v>98748.44</v>
      </c>
      <c r="F207" s="5" t="s">
        <v>66</v>
      </c>
      <c r="G207" s="5">
        <v>-8754.7100000000064</v>
      </c>
      <c r="H207" s="5">
        <v>-8.8656691690521949</v>
      </c>
      <c r="I207" s="1" t="s">
        <v>68</v>
      </c>
    </row>
    <row r="208" spans="1:9" x14ac:dyDescent="0.45">
      <c r="A208" s="1" t="s">
        <v>3</v>
      </c>
      <c r="B208" s="1" t="s">
        <v>31</v>
      </c>
      <c r="C208" s="1" t="s">
        <v>47</v>
      </c>
      <c r="D208" s="5">
        <v>91270.03</v>
      </c>
      <c r="E208" s="5">
        <v>100002.69</v>
      </c>
      <c r="F208" s="5" t="s">
        <v>66</v>
      </c>
      <c r="G208" s="5">
        <v>-8732.6600000000035</v>
      </c>
      <c r="H208" s="5">
        <v>-8.7324250977648727</v>
      </c>
      <c r="I208" s="1" t="s">
        <v>68</v>
      </c>
    </row>
    <row r="209" spans="1:9" x14ac:dyDescent="0.45">
      <c r="A209" s="1" t="s">
        <v>26</v>
      </c>
      <c r="B209" s="1" t="s">
        <v>27</v>
      </c>
      <c r="C209" s="1" t="s">
        <v>28</v>
      </c>
      <c r="D209" s="5">
        <v>453879.71</v>
      </c>
      <c r="E209" s="5">
        <v>462587.75</v>
      </c>
      <c r="F209" s="5" t="s">
        <v>66</v>
      </c>
      <c r="G209" s="5">
        <v>-8708.039999999979</v>
      </c>
      <c r="H209" s="5">
        <v>-1.882462300395974</v>
      </c>
      <c r="I209" s="1" t="s">
        <v>68</v>
      </c>
    </row>
    <row r="210" spans="1:9" x14ac:dyDescent="0.45">
      <c r="A210" s="1" t="s">
        <v>12</v>
      </c>
      <c r="B210" s="1" t="s">
        <v>31</v>
      </c>
      <c r="C210" s="1" t="s">
        <v>52</v>
      </c>
      <c r="D210" s="5">
        <v>97816.68</v>
      </c>
      <c r="E210" s="5">
        <v>106517.21</v>
      </c>
      <c r="F210" s="5" t="s">
        <v>66</v>
      </c>
      <c r="G210" s="5">
        <v>-8700.5300000000134</v>
      </c>
      <c r="H210" s="5">
        <v>-8.1681917879749317</v>
      </c>
      <c r="I210" s="1" t="s">
        <v>68</v>
      </c>
    </row>
    <row r="211" spans="1:9" x14ac:dyDescent="0.45">
      <c r="A211" s="1" t="s">
        <v>17</v>
      </c>
      <c r="B211" s="1" t="s">
        <v>54</v>
      </c>
      <c r="C211" s="1" t="s">
        <v>56</v>
      </c>
      <c r="D211" s="5">
        <v>638748.12</v>
      </c>
      <c r="E211" s="5">
        <v>630050.68999999994</v>
      </c>
      <c r="F211" s="5" t="s">
        <v>66</v>
      </c>
      <c r="G211" s="5">
        <v>8697.4300000000512</v>
      </c>
      <c r="H211" s="5">
        <v>1.380433374336921</v>
      </c>
      <c r="I211" s="1" t="s">
        <v>68</v>
      </c>
    </row>
    <row r="212" spans="1:9" x14ac:dyDescent="0.45">
      <c r="A212" s="1" t="s">
        <v>9</v>
      </c>
      <c r="B212" s="1" t="s">
        <v>31</v>
      </c>
      <c r="C212" s="1" t="s">
        <v>37</v>
      </c>
      <c r="D212" s="5">
        <v>41243.800000000003</v>
      </c>
      <c r="E212" s="5">
        <v>32624.81</v>
      </c>
      <c r="F212" s="5" t="s">
        <v>66</v>
      </c>
      <c r="G212" s="5">
        <v>8618.9900000000016</v>
      </c>
      <c r="H212" s="5">
        <v>26.418514008204191</v>
      </c>
      <c r="I212" s="1" t="s">
        <v>67</v>
      </c>
    </row>
    <row r="213" spans="1:9" x14ac:dyDescent="0.45">
      <c r="A213" s="1" t="s">
        <v>3</v>
      </c>
      <c r="B213" s="1" t="s">
        <v>31</v>
      </c>
      <c r="C213" s="1" t="s">
        <v>44</v>
      </c>
      <c r="D213" s="5">
        <v>113640.69</v>
      </c>
      <c r="E213" s="5">
        <v>122152.16</v>
      </c>
      <c r="F213" s="5" t="s">
        <v>66</v>
      </c>
      <c r="G213" s="5">
        <v>-8511.4700000000012</v>
      </c>
      <c r="H213" s="5">
        <v>-6.9679242675692352</v>
      </c>
      <c r="I213" s="1" t="s">
        <v>68</v>
      </c>
    </row>
    <row r="214" spans="1:9" x14ac:dyDescent="0.45">
      <c r="A214" s="1" t="s">
        <v>23</v>
      </c>
      <c r="B214" s="1" t="s">
        <v>31</v>
      </c>
      <c r="C214" s="1" t="s">
        <v>52</v>
      </c>
      <c r="D214" s="5">
        <v>98382.87</v>
      </c>
      <c r="E214" s="5">
        <v>106839.2</v>
      </c>
      <c r="F214" s="5" t="s">
        <v>66</v>
      </c>
      <c r="G214" s="5">
        <v>-8456.3300000000017</v>
      </c>
      <c r="H214" s="5">
        <v>-7.9150068514178331</v>
      </c>
      <c r="I214" s="1" t="s">
        <v>68</v>
      </c>
    </row>
    <row r="215" spans="1:9" x14ac:dyDescent="0.45">
      <c r="A215" s="1" t="s">
        <v>4</v>
      </c>
      <c r="B215" s="1" t="s">
        <v>31</v>
      </c>
      <c r="C215" s="1" t="s">
        <v>38</v>
      </c>
      <c r="D215" s="5">
        <v>122507.35</v>
      </c>
      <c r="E215" s="5">
        <v>130893.45</v>
      </c>
      <c r="F215" s="5" t="s">
        <v>66</v>
      </c>
      <c r="G215" s="5">
        <v>-8386.0999999999913</v>
      </c>
      <c r="H215" s="5">
        <v>-6.4068140919197951</v>
      </c>
      <c r="I215" s="1" t="s">
        <v>68</v>
      </c>
    </row>
    <row r="216" spans="1:9" x14ac:dyDescent="0.45">
      <c r="A216" s="1" t="s">
        <v>25</v>
      </c>
      <c r="B216" s="1" t="s">
        <v>31</v>
      </c>
      <c r="C216" s="1" t="s">
        <v>37</v>
      </c>
      <c r="D216" s="5">
        <v>19877.48</v>
      </c>
      <c r="E216" s="5">
        <v>28239.42</v>
      </c>
      <c r="F216" s="5" t="s">
        <v>66</v>
      </c>
      <c r="G216" s="5">
        <v>-8361.9399999999987</v>
      </c>
      <c r="H216" s="5">
        <v>-29.610877277224532</v>
      </c>
      <c r="I216" s="1" t="s">
        <v>68</v>
      </c>
    </row>
    <row r="217" spans="1:9" x14ac:dyDescent="0.45">
      <c r="A217" s="1" t="s">
        <v>26</v>
      </c>
      <c r="B217" s="1" t="s">
        <v>31</v>
      </c>
      <c r="C217" s="1" t="s">
        <v>44</v>
      </c>
      <c r="D217" s="5">
        <v>115760.36</v>
      </c>
      <c r="E217" s="5">
        <v>124070.85</v>
      </c>
      <c r="F217" s="5" t="s">
        <v>66</v>
      </c>
      <c r="G217" s="5">
        <v>-8310.4900000000052</v>
      </c>
      <c r="H217" s="5">
        <v>-6.6981809184026737</v>
      </c>
      <c r="I217" s="1" t="s">
        <v>68</v>
      </c>
    </row>
    <row r="218" spans="1:9" x14ac:dyDescent="0.45">
      <c r="A218" s="1" t="s">
        <v>23</v>
      </c>
      <c r="B218" s="1" t="s">
        <v>54</v>
      </c>
      <c r="C218" s="1" t="s">
        <v>58</v>
      </c>
      <c r="D218" s="5">
        <v>234036.71</v>
      </c>
      <c r="E218" s="5">
        <v>225758.71</v>
      </c>
      <c r="F218" s="5" t="s">
        <v>66</v>
      </c>
      <c r="G218" s="5">
        <v>8278</v>
      </c>
      <c r="H218" s="5">
        <v>3.6667466783452118</v>
      </c>
      <c r="I218" s="1" t="s">
        <v>68</v>
      </c>
    </row>
    <row r="219" spans="1:9" x14ac:dyDescent="0.45">
      <c r="A219" s="1" t="s">
        <v>7</v>
      </c>
      <c r="B219" s="1" t="s">
        <v>31</v>
      </c>
      <c r="C219" s="1" t="s">
        <v>48</v>
      </c>
      <c r="D219" s="5">
        <v>113418.92</v>
      </c>
      <c r="E219" s="5">
        <v>105335.56</v>
      </c>
      <c r="F219" s="5" t="s">
        <v>66</v>
      </c>
      <c r="G219" s="5">
        <v>8083.3600000000006</v>
      </c>
      <c r="H219" s="5">
        <v>7.6739137286591541</v>
      </c>
      <c r="I219" s="1" t="s">
        <v>67</v>
      </c>
    </row>
    <row r="220" spans="1:9" x14ac:dyDescent="0.45">
      <c r="A220" s="1" t="s">
        <v>25</v>
      </c>
      <c r="B220" s="1" t="s">
        <v>27</v>
      </c>
      <c r="C220" s="1" t="s">
        <v>29</v>
      </c>
      <c r="D220" s="5">
        <v>215764.44</v>
      </c>
      <c r="E220" s="5">
        <v>207762.93</v>
      </c>
      <c r="F220" s="5" t="s">
        <v>66</v>
      </c>
      <c r="G220" s="5">
        <v>8001.5100000000093</v>
      </c>
      <c r="H220" s="5">
        <v>3.8512693289414091</v>
      </c>
      <c r="I220" s="1" t="s">
        <v>67</v>
      </c>
    </row>
    <row r="221" spans="1:9" x14ac:dyDescent="0.45">
      <c r="A221" s="1" t="s">
        <v>17</v>
      </c>
      <c r="B221" s="1" t="s">
        <v>31</v>
      </c>
      <c r="C221" s="1" t="s">
        <v>44</v>
      </c>
      <c r="D221" s="5">
        <v>120446.69</v>
      </c>
      <c r="E221" s="5">
        <v>128382.24</v>
      </c>
      <c r="F221" s="5" t="s">
        <v>66</v>
      </c>
      <c r="G221" s="5">
        <v>-7935.5500000000029</v>
      </c>
      <c r="H221" s="5">
        <v>-6.1811898592827186</v>
      </c>
      <c r="I221" s="1" t="s">
        <v>68</v>
      </c>
    </row>
    <row r="222" spans="1:9" x14ac:dyDescent="0.45">
      <c r="A222" s="1" t="s">
        <v>22</v>
      </c>
      <c r="B222" s="1" t="s">
        <v>54</v>
      </c>
      <c r="C222" s="1" t="s">
        <v>56</v>
      </c>
      <c r="D222" s="5">
        <v>713198.6</v>
      </c>
      <c r="E222" s="5">
        <v>721055.65</v>
      </c>
      <c r="F222" s="5" t="s">
        <v>66</v>
      </c>
      <c r="G222" s="5">
        <v>-7857.0500000000466</v>
      </c>
      <c r="H222" s="5">
        <v>-1.089659307156118</v>
      </c>
      <c r="I222" s="1" t="s">
        <v>67</v>
      </c>
    </row>
    <row r="223" spans="1:9" x14ac:dyDescent="0.45">
      <c r="A223" s="1" t="s">
        <v>9</v>
      </c>
      <c r="B223" s="1" t="s">
        <v>31</v>
      </c>
      <c r="C223" s="1" t="s">
        <v>52</v>
      </c>
      <c r="D223" s="5">
        <v>89257.29</v>
      </c>
      <c r="E223" s="5">
        <v>97082.09</v>
      </c>
      <c r="F223" s="5" t="s">
        <v>66</v>
      </c>
      <c r="G223" s="5">
        <v>-7824.8000000000029</v>
      </c>
      <c r="H223" s="5">
        <v>-8.059983051456765</v>
      </c>
      <c r="I223" s="1" t="s">
        <v>68</v>
      </c>
    </row>
    <row r="224" spans="1:9" x14ac:dyDescent="0.45">
      <c r="A224" s="1" t="s">
        <v>22</v>
      </c>
      <c r="B224" s="1" t="s">
        <v>54</v>
      </c>
      <c r="C224" s="1" t="s">
        <v>55</v>
      </c>
      <c r="D224" s="5">
        <v>48956.15</v>
      </c>
      <c r="E224" s="5">
        <v>56662.12</v>
      </c>
      <c r="F224" s="5" t="s">
        <v>66</v>
      </c>
      <c r="G224" s="5">
        <v>-7705.9700000000012</v>
      </c>
      <c r="H224" s="5">
        <v>-13.599861777144939</v>
      </c>
      <c r="I224" s="1" t="s">
        <v>67</v>
      </c>
    </row>
    <row r="225" spans="1:9" x14ac:dyDescent="0.45">
      <c r="A225" s="1" t="s">
        <v>23</v>
      </c>
      <c r="B225" s="1" t="s">
        <v>27</v>
      </c>
      <c r="C225" s="1" t="s">
        <v>28</v>
      </c>
      <c r="D225" s="5">
        <v>368337.58</v>
      </c>
      <c r="E225" s="5">
        <v>360686.08000000002</v>
      </c>
      <c r="F225" s="5" t="s">
        <v>66</v>
      </c>
      <c r="G225" s="5">
        <v>7651.5</v>
      </c>
      <c r="H225" s="5">
        <v>2.1213737996209892</v>
      </c>
      <c r="I225" s="1" t="s">
        <v>67</v>
      </c>
    </row>
    <row r="226" spans="1:9" x14ac:dyDescent="0.45">
      <c r="A226" s="1" t="s">
        <v>14</v>
      </c>
      <c r="B226" s="1" t="s">
        <v>31</v>
      </c>
      <c r="C226" s="1" t="s">
        <v>44</v>
      </c>
      <c r="D226" s="5">
        <v>115278.72</v>
      </c>
      <c r="E226" s="5">
        <v>122867.4</v>
      </c>
      <c r="F226" s="5" t="s">
        <v>66</v>
      </c>
      <c r="G226" s="5">
        <v>-7588.679999999993</v>
      </c>
      <c r="H226" s="5">
        <v>-6.1763169074953916</v>
      </c>
      <c r="I226" s="1" t="s">
        <v>68</v>
      </c>
    </row>
    <row r="227" spans="1:9" x14ac:dyDescent="0.45">
      <c r="A227" s="1" t="s">
        <v>15</v>
      </c>
      <c r="B227" s="1" t="s">
        <v>31</v>
      </c>
      <c r="C227" s="1" t="s">
        <v>46</v>
      </c>
      <c r="D227" s="5">
        <v>98434.52</v>
      </c>
      <c r="E227" s="5">
        <v>90919.039999999994</v>
      </c>
      <c r="F227" s="5" t="s">
        <v>66</v>
      </c>
      <c r="G227" s="5">
        <v>7515.4800000000096</v>
      </c>
      <c r="H227" s="5">
        <v>8.2661233554599907</v>
      </c>
      <c r="I227" s="1" t="s">
        <v>67</v>
      </c>
    </row>
    <row r="228" spans="1:9" x14ac:dyDescent="0.45">
      <c r="A228" s="1" t="s">
        <v>7</v>
      </c>
      <c r="B228" s="1" t="s">
        <v>31</v>
      </c>
      <c r="C228" s="1" t="s">
        <v>35</v>
      </c>
      <c r="D228" s="5">
        <v>45449.440000000002</v>
      </c>
      <c r="E228" s="5">
        <v>52946.64</v>
      </c>
      <c r="F228" s="5" t="s">
        <v>66</v>
      </c>
      <c r="G228" s="5">
        <v>-7497.1999999999971</v>
      </c>
      <c r="H228" s="5">
        <v>-14.159916474397621</v>
      </c>
      <c r="I228" s="1" t="s">
        <v>68</v>
      </c>
    </row>
    <row r="229" spans="1:9" x14ac:dyDescent="0.45">
      <c r="A229" s="1" t="s">
        <v>3</v>
      </c>
      <c r="B229" s="1" t="s">
        <v>31</v>
      </c>
      <c r="C229" s="1" t="s">
        <v>51</v>
      </c>
      <c r="D229" s="5">
        <v>27033.13</v>
      </c>
      <c r="E229" s="5">
        <v>34527.94</v>
      </c>
      <c r="F229" s="5" t="s">
        <v>66</v>
      </c>
      <c r="G229" s="5">
        <v>-7494.8100000000013</v>
      </c>
      <c r="H229" s="5">
        <v>-21.70650783104929</v>
      </c>
      <c r="I229" s="1" t="s">
        <v>68</v>
      </c>
    </row>
    <row r="230" spans="1:9" x14ac:dyDescent="0.45">
      <c r="A230" s="1" t="s">
        <v>12</v>
      </c>
      <c r="B230" s="1" t="s">
        <v>31</v>
      </c>
      <c r="C230" s="1" t="s">
        <v>35</v>
      </c>
      <c r="D230" s="5">
        <v>47307.59</v>
      </c>
      <c r="E230" s="5">
        <v>54764.85</v>
      </c>
      <c r="F230" s="5" t="s">
        <v>66</v>
      </c>
      <c r="G230" s="5">
        <v>-7457.260000000002</v>
      </c>
      <c r="H230" s="5">
        <v>-13.616872866446281</v>
      </c>
      <c r="I230" s="1" t="s">
        <v>68</v>
      </c>
    </row>
    <row r="231" spans="1:9" x14ac:dyDescent="0.45">
      <c r="A231" s="1" t="s">
        <v>18</v>
      </c>
      <c r="B231" s="1" t="s">
        <v>31</v>
      </c>
      <c r="C231" s="1" t="s">
        <v>52</v>
      </c>
      <c r="D231" s="5">
        <v>97985.18</v>
      </c>
      <c r="E231" s="5">
        <v>105425.89</v>
      </c>
      <c r="F231" s="5" t="s">
        <v>66</v>
      </c>
      <c r="G231" s="5">
        <v>-7440.7100000000064</v>
      </c>
      <c r="H231" s="5">
        <v>-7.0577635152048579</v>
      </c>
      <c r="I231" s="1" t="s">
        <v>68</v>
      </c>
    </row>
    <row r="232" spans="1:9" x14ac:dyDescent="0.45">
      <c r="A232" s="1" t="s">
        <v>11</v>
      </c>
      <c r="B232" s="1" t="s">
        <v>27</v>
      </c>
      <c r="C232" s="1" t="s">
        <v>30</v>
      </c>
      <c r="D232" s="5">
        <v>47658.29</v>
      </c>
      <c r="E232" s="5">
        <v>55041.41</v>
      </c>
      <c r="F232" s="5" t="s">
        <v>66</v>
      </c>
      <c r="G232" s="5">
        <v>-7383.1200000000026</v>
      </c>
      <c r="H232" s="5">
        <v>-13.413755207215811</v>
      </c>
      <c r="I232" s="1" t="s">
        <v>68</v>
      </c>
    </row>
    <row r="233" spans="1:9" x14ac:dyDescent="0.45">
      <c r="A233" s="1" t="s">
        <v>9</v>
      </c>
      <c r="B233" s="1" t="s">
        <v>31</v>
      </c>
      <c r="C233" s="1" t="s">
        <v>44</v>
      </c>
      <c r="D233" s="5">
        <v>115546.45</v>
      </c>
      <c r="E233" s="5">
        <v>122901.14</v>
      </c>
      <c r="F233" s="5" t="s">
        <v>66</v>
      </c>
      <c r="G233" s="5">
        <v>-7354.6900000000023</v>
      </c>
      <c r="H233" s="5">
        <v>-5.9842325303085087</v>
      </c>
      <c r="I233" s="1" t="s">
        <v>68</v>
      </c>
    </row>
    <row r="234" spans="1:9" x14ac:dyDescent="0.45">
      <c r="A234" s="1" t="s">
        <v>3</v>
      </c>
      <c r="B234" s="1" t="s">
        <v>31</v>
      </c>
      <c r="C234" s="1" t="s">
        <v>53</v>
      </c>
      <c r="D234" s="5">
        <v>34894.61</v>
      </c>
      <c r="E234" s="5">
        <v>42207.7</v>
      </c>
      <c r="F234" s="5" t="s">
        <v>66</v>
      </c>
      <c r="G234" s="5">
        <v>-7313.0899999999974</v>
      </c>
      <c r="H234" s="5">
        <v>-17.326435697751819</v>
      </c>
      <c r="I234" s="1" t="s">
        <v>68</v>
      </c>
    </row>
    <row r="235" spans="1:9" x14ac:dyDescent="0.45">
      <c r="A235" s="1" t="s">
        <v>3</v>
      </c>
      <c r="B235" s="1" t="s">
        <v>27</v>
      </c>
      <c r="C235" s="1" t="s">
        <v>30</v>
      </c>
      <c r="D235" s="5">
        <v>39015.33</v>
      </c>
      <c r="E235" s="5">
        <v>46247</v>
      </c>
      <c r="F235" s="5" t="s">
        <v>66</v>
      </c>
      <c r="G235" s="5">
        <v>-7231.6699999999983</v>
      </c>
      <c r="H235" s="5">
        <v>-15.63705753886738</v>
      </c>
      <c r="I235" s="1" t="s">
        <v>68</v>
      </c>
    </row>
    <row r="236" spans="1:9" x14ac:dyDescent="0.45">
      <c r="A236" s="1" t="s">
        <v>6</v>
      </c>
      <c r="B236" s="1" t="s">
        <v>31</v>
      </c>
      <c r="C236" s="1" t="s">
        <v>46</v>
      </c>
      <c r="D236" s="5">
        <v>77486.67</v>
      </c>
      <c r="E236" s="5">
        <v>84649.279999999999</v>
      </c>
      <c r="F236" s="5" t="s">
        <v>66</v>
      </c>
      <c r="G236" s="5">
        <v>-7162.6100000000006</v>
      </c>
      <c r="H236" s="5">
        <v>-8.4615131989309305</v>
      </c>
      <c r="I236" s="1" t="s">
        <v>68</v>
      </c>
    </row>
    <row r="237" spans="1:9" x14ac:dyDescent="0.45">
      <c r="A237" s="1" t="s">
        <v>12</v>
      </c>
      <c r="B237" s="1" t="s">
        <v>31</v>
      </c>
      <c r="C237" s="1" t="s">
        <v>46</v>
      </c>
      <c r="D237" s="5">
        <v>90442.34</v>
      </c>
      <c r="E237" s="5">
        <v>97603.19</v>
      </c>
      <c r="F237" s="5" t="s">
        <v>66</v>
      </c>
      <c r="G237" s="5">
        <v>-7160.8500000000058</v>
      </c>
      <c r="H237" s="5">
        <v>-7.3366966796884467</v>
      </c>
      <c r="I237" s="1" t="s">
        <v>68</v>
      </c>
    </row>
    <row r="238" spans="1:9" x14ac:dyDescent="0.45">
      <c r="A238" s="1" t="s">
        <v>18</v>
      </c>
      <c r="B238" s="1" t="s">
        <v>54</v>
      </c>
      <c r="C238" s="1" t="s">
        <v>55</v>
      </c>
      <c r="D238" s="5">
        <v>48417.02</v>
      </c>
      <c r="E238" s="5">
        <v>55576.33</v>
      </c>
      <c r="F238" s="5" t="s">
        <v>66</v>
      </c>
      <c r="G238" s="5">
        <v>-7159.3100000000049</v>
      </c>
      <c r="H238" s="5">
        <v>-12.88194092700976</v>
      </c>
      <c r="I238" s="1" t="s">
        <v>67</v>
      </c>
    </row>
    <row r="239" spans="1:9" x14ac:dyDescent="0.45">
      <c r="A239" s="1" t="s">
        <v>4</v>
      </c>
      <c r="B239" s="1" t="s">
        <v>31</v>
      </c>
      <c r="C239" s="1" t="s">
        <v>53</v>
      </c>
      <c r="D239" s="5">
        <v>45122.73</v>
      </c>
      <c r="E239" s="5">
        <v>52240.78</v>
      </c>
      <c r="F239" s="5" t="s">
        <v>66</v>
      </c>
      <c r="G239" s="5">
        <v>-7118.0499999999956</v>
      </c>
      <c r="H239" s="5">
        <v>-13.62546654165576</v>
      </c>
      <c r="I239" s="1" t="s">
        <v>68</v>
      </c>
    </row>
    <row r="240" spans="1:9" x14ac:dyDescent="0.45">
      <c r="A240" s="1" t="s">
        <v>14</v>
      </c>
      <c r="B240" s="1" t="s">
        <v>31</v>
      </c>
      <c r="C240" s="1" t="s">
        <v>51</v>
      </c>
      <c r="D240" s="5">
        <v>32489.61</v>
      </c>
      <c r="E240" s="5">
        <v>39537.83</v>
      </c>
      <c r="F240" s="5" t="s">
        <v>66</v>
      </c>
      <c r="G240" s="5">
        <v>-7048.2200000000012</v>
      </c>
      <c r="H240" s="5">
        <v>-17.8265220928918</v>
      </c>
      <c r="I240" s="1" t="s">
        <v>68</v>
      </c>
    </row>
    <row r="241" spans="1:9" x14ac:dyDescent="0.45">
      <c r="A241" s="1" t="s">
        <v>22</v>
      </c>
      <c r="B241" s="1" t="s">
        <v>54</v>
      </c>
      <c r="C241" s="1" t="s">
        <v>57</v>
      </c>
      <c r="D241" s="5">
        <v>427919.16</v>
      </c>
      <c r="E241" s="5">
        <v>420936.77</v>
      </c>
      <c r="F241" s="5" t="s">
        <v>66</v>
      </c>
      <c r="G241" s="5">
        <v>6982.3899999999558</v>
      </c>
      <c r="H241" s="5">
        <v>1.658774071934831</v>
      </c>
      <c r="I241" s="1" t="s">
        <v>68</v>
      </c>
    </row>
    <row r="242" spans="1:9" x14ac:dyDescent="0.45">
      <c r="A242" s="1" t="s">
        <v>18</v>
      </c>
      <c r="B242" s="1" t="s">
        <v>54</v>
      </c>
      <c r="C242" s="1" t="s">
        <v>56</v>
      </c>
      <c r="D242" s="5">
        <v>651629.38</v>
      </c>
      <c r="E242" s="5">
        <v>658556.25</v>
      </c>
      <c r="F242" s="5" t="s">
        <v>66</v>
      </c>
      <c r="G242" s="5">
        <v>-6926.8699999999953</v>
      </c>
      <c r="H242" s="5">
        <v>-1.051826628325218</v>
      </c>
      <c r="I242" s="1" t="s">
        <v>67</v>
      </c>
    </row>
    <row r="243" spans="1:9" x14ac:dyDescent="0.45">
      <c r="A243" s="1" t="s">
        <v>14</v>
      </c>
      <c r="B243" s="1" t="s">
        <v>31</v>
      </c>
      <c r="C243" s="1" t="s">
        <v>40</v>
      </c>
      <c r="D243" s="5">
        <v>15355.05</v>
      </c>
      <c r="E243" s="5">
        <v>22106.94</v>
      </c>
      <c r="F243" s="5" t="s">
        <v>66</v>
      </c>
      <c r="G243" s="5">
        <v>-6751.8899999999994</v>
      </c>
      <c r="H243" s="5">
        <v>-30.541947460842611</v>
      </c>
      <c r="I243" s="1" t="s">
        <v>68</v>
      </c>
    </row>
    <row r="244" spans="1:9" x14ac:dyDescent="0.45">
      <c r="A244" s="1" t="s">
        <v>23</v>
      </c>
      <c r="B244" s="1" t="s">
        <v>27</v>
      </c>
      <c r="C244" s="1" t="s">
        <v>30</v>
      </c>
      <c r="D244" s="5">
        <v>61389.599999999999</v>
      </c>
      <c r="E244" s="5">
        <v>54645.03</v>
      </c>
      <c r="F244" s="5" t="s">
        <v>66</v>
      </c>
      <c r="G244" s="5">
        <v>6744.57</v>
      </c>
      <c r="H244" s="5">
        <v>12.342513125164359</v>
      </c>
      <c r="I244" s="1" t="s">
        <v>67</v>
      </c>
    </row>
    <row r="245" spans="1:9" x14ac:dyDescent="0.45">
      <c r="A245" s="1" t="s">
        <v>14</v>
      </c>
      <c r="B245" s="1" t="s">
        <v>31</v>
      </c>
      <c r="C245" s="1" t="s">
        <v>52</v>
      </c>
      <c r="D245" s="5">
        <v>99468.84</v>
      </c>
      <c r="E245" s="5">
        <v>106200.65</v>
      </c>
      <c r="F245" s="5" t="s">
        <v>66</v>
      </c>
      <c r="G245" s="5">
        <v>-6731.8099999999977</v>
      </c>
      <c r="H245" s="5">
        <v>-6.3387653465397804</v>
      </c>
      <c r="I245" s="1" t="s">
        <v>68</v>
      </c>
    </row>
    <row r="246" spans="1:9" x14ac:dyDescent="0.45">
      <c r="A246" s="1" t="s">
        <v>5</v>
      </c>
      <c r="B246" s="1" t="s">
        <v>31</v>
      </c>
      <c r="C246" s="1" t="s">
        <v>35</v>
      </c>
      <c r="D246" s="5">
        <v>45367.44</v>
      </c>
      <c r="E246" s="5">
        <v>52018.44</v>
      </c>
      <c r="F246" s="5" t="s">
        <v>66</v>
      </c>
      <c r="G246" s="5">
        <v>-6651</v>
      </c>
      <c r="H246" s="5">
        <v>-12.78585055607204</v>
      </c>
      <c r="I246" s="1" t="s">
        <v>68</v>
      </c>
    </row>
    <row r="247" spans="1:9" x14ac:dyDescent="0.45">
      <c r="A247" s="1" t="s">
        <v>10</v>
      </c>
      <c r="B247" s="1" t="s">
        <v>31</v>
      </c>
      <c r="C247" s="1" t="s">
        <v>49</v>
      </c>
      <c r="D247" s="5">
        <v>159884.24</v>
      </c>
      <c r="E247" s="5">
        <v>166508.14000000001</v>
      </c>
      <c r="F247" s="5" t="s">
        <v>66</v>
      </c>
      <c r="G247" s="5">
        <v>-6623.9000000000233</v>
      </c>
      <c r="H247" s="5">
        <v>-3.97812383226431</v>
      </c>
      <c r="I247" s="1" t="s">
        <v>68</v>
      </c>
    </row>
    <row r="248" spans="1:9" x14ac:dyDescent="0.45">
      <c r="A248" s="1" t="s">
        <v>24</v>
      </c>
      <c r="B248" s="1" t="s">
        <v>54</v>
      </c>
      <c r="C248" s="1" t="s">
        <v>55</v>
      </c>
      <c r="D248" s="5">
        <v>48197.47</v>
      </c>
      <c r="E248" s="5">
        <v>54781.81</v>
      </c>
      <c r="F248" s="5" t="s">
        <v>66</v>
      </c>
      <c r="G248" s="5">
        <v>-6584.3399999999974</v>
      </c>
      <c r="H248" s="5">
        <v>-12.01920856576297</v>
      </c>
      <c r="I248" s="1" t="s">
        <v>67</v>
      </c>
    </row>
    <row r="249" spans="1:9" x14ac:dyDescent="0.45">
      <c r="A249" s="1" t="s">
        <v>16</v>
      </c>
      <c r="B249" s="1" t="s">
        <v>31</v>
      </c>
      <c r="C249" s="1" t="s">
        <v>52</v>
      </c>
      <c r="D249" s="5">
        <v>99318.83</v>
      </c>
      <c r="E249" s="5">
        <v>105855.79</v>
      </c>
      <c r="F249" s="5" t="s">
        <v>66</v>
      </c>
      <c r="G249" s="5">
        <v>-6536.9599999999919</v>
      </c>
      <c r="H249" s="5">
        <v>-6.1753447780229997</v>
      </c>
      <c r="I249" s="1" t="s">
        <v>68</v>
      </c>
    </row>
    <row r="250" spans="1:9" x14ac:dyDescent="0.45">
      <c r="A250" s="1" t="s">
        <v>26</v>
      </c>
      <c r="B250" s="1" t="s">
        <v>54</v>
      </c>
      <c r="C250" s="1" t="s">
        <v>58</v>
      </c>
      <c r="D250" s="5">
        <v>248361.63</v>
      </c>
      <c r="E250" s="5">
        <v>241835.85</v>
      </c>
      <c r="F250" s="5" t="s">
        <v>66</v>
      </c>
      <c r="G250" s="5">
        <v>6525.7799999999988</v>
      </c>
      <c r="H250" s="5">
        <v>2.6984336689535482</v>
      </c>
      <c r="I250" s="1" t="s">
        <v>68</v>
      </c>
    </row>
    <row r="251" spans="1:9" x14ac:dyDescent="0.45">
      <c r="A251" s="1" t="s">
        <v>10</v>
      </c>
      <c r="B251" s="1" t="s">
        <v>31</v>
      </c>
      <c r="C251" s="1" t="s">
        <v>46</v>
      </c>
      <c r="D251" s="5">
        <v>90694.43</v>
      </c>
      <c r="E251" s="5">
        <v>97181.67</v>
      </c>
      <c r="F251" s="5" t="s">
        <v>66</v>
      </c>
      <c r="G251" s="5">
        <v>-6487.2400000000052</v>
      </c>
      <c r="H251" s="5">
        <v>-6.6753740700278206</v>
      </c>
      <c r="I251" s="1" t="s">
        <v>68</v>
      </c>
    </row>
    <row r="252" spans="1:9" x14ac:dyDescent="0.45">
      <c r="A252" s="1" t="s">
        <v>26</v>
      </c>
      <c r="B252" s="1" t="s">
        <v>31</v>
      </c>
      <c r="C252" s="1" t="s">
        <v>48</v>
      </c>
      <c r="D252" s="5">
        <v>102427.27</v>
      </c>
      <c r="E252" s="5">
        <v>95957.32</v>
      </c>
      <c r="F252" s="5" t="s">
        <v>66</v>
      </c>
      <c r="G252" s="5">
        <v>6469.9499999999971</v>
      </c>
      <c r="H252" s="5">
        <v>6.7425288659583211</v>
      </c>
      <c r="I252" s="1" t="s">
        <v>67</v>
      </c>
    </row>
    <row r="253" spans="1:9" x14ac:dyDescent="0.45">
      <c r="A253" s="1" t="s">
        <v>13</v>
      </c>
      <c r="B253" s="1" t="s">
        <v>31</v>
      </c>
      <c r="C253" s="1" t="s">
        <v>43</v>
      </c>
      <c r="D253" s="5">
        <v>40500.36</v>
      </c>
      <c r="E253" s="5">
        <v>46953.57</v>
      </c>
      <c r="F253" s="5" t="s">
        <v>66</v>
      </c>
      <c r="G253" s="5">
        <v>-6453.2099999999991</v>
      </c>
      <c r="H253" s="5">
        <v>-13.74381117346349</v>
      </c>
      <c r="I253" s="1" t="s">
        <v>68</v>
      </c>
    </row>
    <row r="254" spans="1:9" x14ac:dyDescent="0.45">
      <c r="A254" s="1" t="s">
        <v>9</v>
      </c>
      <c r="B254" s="1" t="s">
        <v>31</v>
      </c>
      <c r="C254" s="1" t="s">
        <v>46</v>
      </c>
      <c r="D254" s="5">
        <v>88786.02</v>
      </c>
      <c r="E254" s="5">
        <v>95205.53</v>
      </c>
      <c r="F254" s="5" t="s">
        <v>66</v>
      </c>
      <c r="G254" s="5">
        <v>-6419.5099999999948</v>
      </c>
      <c r="H254" s="5">
        <v>-6.742791096273498</v>
      </c>
      <c r="I254" s="1" t="s">
        <v>68</v>
      </c>
    </row>
    <row r="255" spans="1:9" x14ac:dyDescent="0.45">
      <c r="A255" s="1" t="s">
        <v>24</v>
      </c>
      <c r="B255" s="1" t="s">
        <v>31</v>
      </c>
      <c r="C255" s="1" t="s">
        <v>43</v>
      </c>
      <c r="D255" s="5">
        <v>38761.5</v>
      </c>
      <c r="E255" s="5">
        <v>45176.26</v>
      </c>
      <c r="F255" s="5" t="s">
        <v>66</v>
      </c>
      <c r="G255" s="5">
        <v>-6414.760000000002</v>
      </c>
      <c r="H255" s="5">
        <v>-14.199404731600181</v>
      </c>
      <c r="I255" s="1" t="s">
        <v>68</v>
      </c>
    </row>
    <row r="256" spans="1:9" x14ac:dyDescent="0.45">
      <c r="A256" s="1" t="s">
        <v>16</v>
      </c>
      <c r="B256" s="1" t="s">
        <v>27</v>
      </c>
      <c r="C256" s="1" t="s">
        <v>29</v>
      </c>
      <c r="D256" s="5">
        <v>141287.07</v>
      </c>
      <c r="E256" s="5">
        <v>147681.85999999999</v>
      </c>
      <c r="F256" s="5" t="s">
        <v>66</v>
      </c>
      <c r="G256" s="5">
        <v>-6394.789999999979</v>
      </c>
      <c r="H256" s="5">
        <v>-4.330112039488113</v>
      </c>
      <c r="I256" s="1" t="s">
        <v>68</v>
      </c>
    </row>
    <row r="257" spans="1:9" x14ac:dyDescent="0.45">
      <c r="A257" s="1" t="s">
        <v>21</v>
      </c>
      <c r="B257" s="1" t="s">
        <v>54</v>
      </c>
      <c r="C257" s="1" t="s">
        <v>55</v>
      </c>
      <c r="D257" s="5">
        <v>49659.73</v>
      </c>
      <c r="E257" s="5">
        <v>56042.73</v>
      </c>
      <c r="F257" s="5" t="s">
        <v>66</v>
      </c>
      <c r="G257" s="5">
        <v>-6383</v>
      </c>
      <c r="H257" s="5">
        <v>-11.38952367238355</v>
      </c>
      <c r="I257" s="1" t="s">
        <v>67</v>
      </c>
    </row>
    <row r="258" spans="1:9" x14ac:dyDescent="0.45">
      <c r="A258" s="1" t="s">
        <v>18</v>
      </c>
      <c r="B258" s="1" t="s">
        <v>31</v>
      </c>
      <c r="C258" s="1" t="s">
        <v>46</v>
      </c>
      <c r="D258" s="5">
        <v>75223.289999999994</v>
      </c>
      <c r="E258" s="5">
        <v>81603.63</v>
      </c>
      <c r="F258" s="5" t="s">
        <v>66</v>
      </c>
      <c r="G258" s="5">
        <v>-6380.3400000000111</v>
      </c>
      <c r="H258" s="5">
        <v>-7.8186963006425216</v>
      </c>
      <c r="I258" s="1" t="s">
        <v>68</v>
      </c>
    </row>
    <row r="259" spans="1:9" x14ac:dyDescent="0.45">
      <c r="A259" s="1" t="s">
        <v>15</v>
      </c>
      <c r="B259" s="1" t="s">
        <v>31</v>
      </c>
      <c r="C259" s="1" t="s">
        <v>43</v>
      </c>
      <c r="D259" s="5">
        <v>35360.199999999997</v>
      </c>
      <c r="E259" s="5">
        <v>41638.019999999997</v>
      </c>
      <c r="F259" s="5" t="s">
        <v>66</v>
      </c>
      <c r="G259" s="5">
        <v>-6277.82</v>
      </c>
      <c r="H259" s="5">
        <v>-15.07713383105153</v>
      </c>
      <c r="I259" s="1" t="s">
        <v>68</v>
      </c>
    </row>
    <row r="260" spans="1:9" x14ac:dyDescent="0.45">
      <c r="A260" s="1" t="s">
        <v>20</v>
      </c>
      <c r="B260" s="1" t="s">
        <v>31</v>
      </c>
      <c r="C260" s="1" t="s">
        <v>37</v>
      </c>
      <c r="D260" s="5">
        <v>27278.16</v>
      </c>
      <c r="E260" s="5">
        <v>33540.910000000003</v>
      </c>
      <c r="F260" s="5" t="s">
        <v>66</v>
      </c>
      <c r="G260" s="5">
        <v>-6262.7500000000036</v>
      </c>
      <c r="H260" s="5">
        <v>-18.671974016208871</v>
      </c>
      <c r="I260" s="1" t="s">
        <v>68</v>
      </c>
    </row>
    <row r="261" spans="1:9" x14ac:dyDescent="0.45">
      <c r="A261" s="1" t="s">
        <v>19</v>
      </c>
      <c r="B261" s="1" t="s">
        <v>31</v>
      </c>
      <c r="C261" s="1" t="s">
        <v>40</v>
      </c>
      <c r="D261" s="5">
        <v>17554.150000000001</v>
      </c>
      <c r="E261" s="5">
        <v>23810.66</v>
      </c>
      <c r="F261" s="5" t="s">
        <v>66</v>
      </c>
      <c r="G261" s="5">
        <v>-6256.5099999999984</v>
      </c>
      <c r="H261" s="5">
        <v>-26.276088105075619</v>
      </c>
      <c r="I261" s="1" t="s">
        <v>68</v>
      </c>
    </row>
    <row r="262" spans="1:9" x14ac:dyDescent="0.45">
      <c r="A262" s="1" t="s">
        <v>6</v>
      </c>
      <c r="B262" s="1" t="s">
        <v>27</v>
      </c>
      <c r="C262" s="1" t="s">
        <v>30</v>
      </c>
      <c r="D262" s="5">
        <v>45762.98</v>
      </c>
      <c r="E262" s="5">
        <v>52004.41</v>
      </c>
      <c r="F262" s="5" t="s">
        <v>66</v>
      </c>
      <c r="G262" s="5">
        <v>-6241.43</v>
      </c>
      <c r="H262" s="5">
        <v>-12.00173216079175</v>
      </c>
      <c r="I262" s="1" t="s">
        <v>68</v>
      </c>
    </row>
    <row r="263" spans="1:9" x14ac:dyDescent="0.45">
      <c r="A263" s="1" t="s">
        <v>4</v>
      </c>
      <c r="B263" s="1" t="s">
        <v>31</v>
      </c>
      <c r="C263" s="1" t="s">
        <v>35</v>
      </c>
      <c r="D263" s="5">
        <v>45477.63</v>
      </c>
      <c r="E263" s="5">
        <v>51700.87</v>
      </c>
      <c r="F263" s="5" t="s">
        <v>66</v>
      </c>
      <c r="G263" s="5">
        <v>-6223.2400000000052</v>
      </c>
      <c r="H263" s="5">
        <v>-12.037012143122549</v>
      </c>
      <c r="I263" s="1" t="s">
        <v>68</v>
      </c>
    </row>
    <row r="264" spans="1:9" x14ac:dyDescent="0.45">
      <c r="A264" s="1" t="s">
        <v>9</v>
      </c>
      <c r="B264" s="1" t="s">
        <v>31</v>
      </c>
      <c r="C264" s="1" t="s">
        <v>35</v>
      </c>
      <c r="D264" s="5">
        <v>46719.09</v>
      </c>
      <c r="E264" s="5">
        <v>52929.94</v>
      </c>
      <c r="F264" s="5" t="s">
        <v>66</v>
      </c>
      <c r="G264" s="5">
        <v>-6210.8500000000058</v>
      </c>
      <c r="H264" s="5">
        <v>-11.73409605225323</v>
      </c>
      <c r="I264" s="1" t="s">
        <v>68</v>
      </c>
    </row>
    <row r="265" spans="1:9" x14ac:dyDescent="0.45">
      <c r="A265" s="1" t="s">
        <v>6</v>
      </c>
      <c r="B265" s="1" t="s">
        <v>31</v>
      </c>
      <c r="C265" s="1" t="s">
        <v>47</v>
      </c>
      <c r="D265" s="5">
        <v>86759.35</v>
      </c>
      <c r="E265" s="5">
        <v>92966.27</v>
      </c>
      <c r="F265" s="5" t="s">
        <v>66</v>
      </c>
      <c r="G265" s="5">
        <v>-6206.9199999999983</v>
      </c>
      <c r="H265" s="5">
        <v>-6.6765290249893834</v>
      </c>
      <c r="I265" s="1" t="s">
        <v>68</v>
      </c>
    </row>
    <row r="266" spans="1:9" x14ac:dyDescent="0.45">
      <c r="A266" s="1" t="s">
        <v>4</v>
      </c>
      <c r="B266" s="1" t="s">
        <v>31</v>
      </c>
      <c r="C266" s="1" t="s">
        <v>37</v>
      </c>
      <c r="D266" s="5">
        <v>22330.12</v>
      </c>
      <c r="E266" s="5">
        <v>28500.42</v>
      </c>
      <c r="F266" s="5" t="s">
        <v>66</v>
      </c>
      <c r="G266" s="5">
        <v>-6170.2999999999993</v>
      </c>
      <c r="H266" s="5">
        <v>-21.6498563880813</v>
      </c>
      <c r="I266" s="1" t="s">
        <v>68</v>
      </c>
    </row>
    <row r="267" spans="1:9" x14ac:dyDescent="0.45">
      <c r="A267" s="1" t="s">
        <v>24</v>
      </c>
      <c r="B267" s="1" t="s">
        <v>31</v>
      </c>
      <c r="C267" s="1" t="s">
        <v>35</v>
      </c>
      <c r="D267" s="5">
        <v>49744.92</v>
      </c>
      <c r="E267" s="5">
        <v>55873.37</v>
      </c>
      <c r="F267" s="5" t="s">
        <v>66</v>
      </c>
      <c r="G267" s="5">
        <v>-6128.4500000000044</v>
      </c>
      <c r="H267" s="5">
        <v>-10.968463151587249</v>
      </c>
      <c r="I267" s="1" t="s">
        <v>68</v>
      </c>
    </row>
    <row r="268" spans="1:9" x14ac:dyDescent="0.45">
      <c r="A268" s="1" t="s">
        <v>20</v>
      </c>
      <c r="B268" s="1" t="s">
        <v>31</v>
      </c>
      <c r="C268" s="1" t="s">
        <v>47</v>
      </c>
      <c r="D268" s="5">
        <v>76779.960000000006</v>
      </c>
      <c r="E268" s="5">
        <v>82880.73</v>
      </c>
      <c r="F268" s="5" t="s">
        <v>66</v>
      </c>
      <c r="G268" s="5">
        <v>-6100.7699999999904</v>
      </c>
      <c r="H268" s="5">
        <v>-7.3609028298857764</v>
      </c>
      <c r="I268" s="1" t="s">
        <v>68</v>
      </c>
    </row>
    <row r="269" spans="1:9" x14ac:dyDescent="0.45">
      <c r="A269" s="1" t="s">
        <v>23</v>
      </c>
      <c r="B269" s="1" t="s">
        <v>31</v>
      </c>
      <c r="C269" s="1" t="s">
        <v>53</v>
      </c>
      <c r="D269" s="5">
        <v>45068.38</v>
      </c>
      <c r="E269" s="5">
        <v>51150.29</v>
      </c>
      <c r="F269" s="5" t="s">
        <v>66</v>
      </c>
      <c r="G269" s="5">
        <v>-6081.9100000000026</v>
      </c>
      <c r="H269" s="5">
        <v>-11.890274717895061</v>
      </c>
      <c r="I269" s="1" t="s">
        <v>68</v>
      </c>
    </row>
    <row r="270" spans="1:9" x14ac:dyDescent="0.45">
      <c r="A270" s="1" t="s">
        <v>24</v>
      </c>
      <c r="B270" s="1" t="s">
        <v>31</v>
      </c>
      <c r="C270" s="1" t="s">
        <v>37</v>
      </c>
      <c r="D270" s="5">
        <v>25378.58</v>
      </c>
      <c r="E270" s="5">
        <v>31424.49</v>
      </c>
      <c r="F270" s="5" t="s">
        <v>66</v>
      </c>
      <c r="G270" s="5">
        <v>-6045.91</v>
      </c>
      <c r="H270" s="5">
        <v>-19.239484873103741</v>
      </c>
      <c r="I270" s="1" t="s">
        <v>68</v>
      </c>
    </row>
    <row r="271" spans="1:9" x14ac:dyDescent="0.45">
      <c r="A271" s="1" t="s">
        <v>20</v>
      </c>
      <c r="B271" s="1" t="s">
        <v>31</v>
      </c>
      <c r="C271" s="1" t="s">
        <v>46</v>
      </c>
      <c r="D271" s="5">
        <v>94377.24</v>
      </c>
      <c r="E271" s="5">
        <v>88398.19</v>
      </c>
      <c r="F271" s="5" t="s">
        <v>66</v>
      </c>
      <c r="G271" s="5">
        <v>5979.0500000000029</v>
      </c>
      <c r="H271" s="5">
        <v>6.7637697106694166</v>
      </c>
      <c r="I271" s="1" t="s">
        <v>67</v>
      </c>
    </row>
    <row r="272" spans="1:9" x14ac:dyDescent="0.45">
      <c r="A272" s="1" t="s">
        <v>16</v>
      </c>
      <c r="B272" s="1" t="s">
        <v>31</v>
      </c>
      <c r="C272" s="1" t="s">
        <v>43</v>
      </c>
      <c r="D272" s="5">
        <v>30277.55</v>
      </c>
      <c r="E272" s="5">
        <v>36254.1</v>
      </c>
      <c r="F272" s="5" t="s">
        <v>66</v>
      </c>
      <c r="G272" s="5">
        <v>-5976.5499999999993</v>
      </c>
      <c r="H272" s="5">
        <v>-16.485169953191502</v>
      </c>
      <c r="I272" s="1" t="s">
        <v>68</v>
      </c>
    </row>
    <row r="273" spans="1:9" x14ac:dyDescent="0.45">
      <c r="A273" s="1" t="s">
        <v>20</v>
      </c>
      <c r="B273" s="1" t="s">
        <v>31</v>
      </c>
      <c r="C273" s="1" t="s">
        <v>40</v>
      </c>
      <c r="D273" s="5">
        <v>16032.36</v>
      </c>
      <c r="E273" s="5">
        <v>21981.62</v>
      </c>
      <c r="F273" s="5" t="s">
        <v>66</v>
      </c>
      <c r="G273" s="5">
        <v>-5949.2599999999984</v>
      </c>
      <c r="H273" s="5">
        <v>-27.064702237596681</v>
      </c>
      <c r="I273" s="1" t="s">
        <v>68</v>
      </c>
    </row>
    <row r="274" spans="1:9" x14ac:dyDescent="0.45">
      <c r="A274" s="1" t="s">
        <v>3</v>
      </c>
      <c r="B274" s="1" t="s">
        <v>31</v>
      </c>
      <c r="C274" s="1" t="s">
        <v>40</v>
      </c>
      <c r="D274" s="5">
        <v>18301.59</v>
      </c>
      <c r="E274" s="5">
        <v>24179.599999999999</v>
      </c>
      <c r="F274" s="5" t="s">
        <v>66</v>
      </c>
      <c r="G274" s="5">
        <v>-5878.0099999999984</v>
      </c>
      <c r="H274" s="5">
        <v>-24.309790070968909</v>
      </c>
      <c r="I274" s="1" t="s">
        <v>68</v>
      </c>
    </row>
    <row r="275" spans="1:9" x14ac:dyDescent="0.45">
      <c r="A275" s="1" t="s">
        <v>16</v>
      </c>
      <c r="B275" s="1" t="s">
        <v>54</v>
      </c>
      <c r="C275" s="1" t="s">
        <v>57</v>
      </c>
      <c r="D275" s="5">
        <v>376918.39</v>
      </c>
      <c r="E275" s="5">
        <v>371093.37</v>
      </c>
      <c r="F275" s="5" t="s">
        <v>66</v>
      </c>
      <c r="G275" s="5">
        <v>5825.0200000000186</v>
      </c>
      <c r="H275" s="5">
        <v>1.569691207363801</v>
      </c>
      <c r="I275" s="1" t="s">
        <v>68</v>
      </c>
    </row>
    <row r="276" spans="1:9" x14ac:dyDescent="0.45">
      <c r="A276" s="1" t="s">
        <v>15</v>
      </c>
      <c r="B276" s="1" t="s">
        <v>31</v>
      </c>
      <c r="C276" s="1" t="s">
        <v>53</v>
      </c>
      <c r="D276" s="5">
        <v>47941.97</v>
      </c>
      <c r="E276" s="5">
        <v>42170.9</v>
      </c>
      <c r="F276" s="5" t="s">
        <v>66</v>
      </c>
      <c r="G276" s="5">
        <v>5771.07</v>
      </c>
      <c r="H276" s="5">
        <v>13.68495811092483</v>
      </c>
      <c r="I276" s="1" t="s">
        <v>67</v>
      </c>
    </row>
    <row r="277" spans="1:9" x14ac:dyDescent="0.45">
      <c r="A277" s="1" t="s">
        <v>22</v>
      </c>
      <c r="B277" s="1" t="s">
        <v>27</v>
      </c>
      <c r="C277" s="1" t="s">
        <v>30</v>
      </c>
      <c r="D277" s="5">
        <v>63234.87</v>
      </c>
      <c r="E277" s="5">
        <v>57500.13</v>
      </c>
      <c r="F277" s="5" t="s">
        <v>66</v>
      </c>
      <c r="G277" s="5">
        <v>5734.7400000000052</v>
      </c>
      <c r="H277" s="5">
        <v>9.9734383209220656</v>
      </c>
      <c r="I277" s="1" t="s">
        <v>67</v>
      </c>
    </row>
    <row r="278" spans="1:9" x14ac:dyDescent="0.45">
      <c r="A278" s="1" t="s">
        <v>21</v>
      </c>
      <c r="B278" s="1" t="s">
        <v>31</v>
      </c>
      <c r="C278" s="1" t="s">
        <v>53</v>
      </c>
      <c r="D278" s="5">
        <v>39250.559999999998</v>
      </c>
      <c r="E278" s="5">
        <v>44982.48</v>
      </c>
      <c r="F278" s="5" t="s">
        <v>66</v>
      </c>
      <c r="G278" s="5">
        <v>-5731.9200000000064</v>
      </c>
      <c r="H278" s="5">
        <v>-12.74256110378975</v>
      </c>
      <c r="I278" s="1" t="s">
        <v>68</v>
      </c>
    </row>
    <row r="279" spans="1:9" x14ac:dyDescent="0.45">
      <c r="A279" s="1" t="s">
        <v>23</v>
      </c>
      <c r="B279" s="1" t="s">
        <v>31</v>
      </c>
      <c r="C279" s="1" t="s">
        <v>49</v>
      </c>
      <c r="D279" s="5">
        <v>161124.1</v>
      </c>
      <c r="E279" s="5">
        <v>166840.62</v>
      </c>
      <c r="F279" s="5" t="s">
        <v>66</v>
      </c>
      <c r="G279" s="5">
        <v>-5716.5199999999904</v>
      </c>
      <c r="H279" s="5">
        <v>-3.4263358647312572</v>
      </c>
      <c r="I279" s="1" t="s">
        <v>68</v>
      </c>
    </row>
    <row r="280" spans="1:9" x14ac:dyDescent="0.45">
      <c r="A280" s="1" t="s">
        <v>13</v>
      </c>
      <c r="B280" s="1" t="s">
        <v>31</v>
      </c>
      <c r="C280" s="1" t="s">
        <v>35</v>
      </c>
      <c r="D280" s="5">
        <v>46917.9</v>
      </c>
      <c r="E280" s="5">
        <v>52606.86</v>
      </c>
      <c r="F280" s="5" t="s">
        <v>66</v>
      </c>
      <c r="G280" s="5">
        <v>-5688.9599999999991</v>
      </c>
      <c r="H280" s="5">
        <v>-10.81410295159224</v>
      </c>
      <c r="I280" s="1" t="s">
        <v>68</v>
      </c>
    </row>
    <row r="281" spans="1:9" x14ac:dyDescent="0.45">
      <c r="A281" s="1" t="s">
        <v>26</v>
      </c>
      <c r="B281" s="1" t="s">
        <v>54</v>
      </c>
      <c r="C281" s="1" t="s">
        <v>55</v>
      </c>
      <c r="D281" s="5">
        <v>49331.81</v>
      </c>
      <c r="E281" s="5">
        <v>54986.35</v>
      </c>
      <c r="F281" s="5" t="s">
        <v>66</v>
      </c>
      <c r="G281" s="5">
        <v>-5654.5400000000009</v>
      </c>
      <c r="H281" s="5">
        <v>-10.283534004348351</v>
      </c>
      <c r="I281" s="1" t="s">
        <v>67</v>
      </c>
    </row>
    <row r="282" spans="1:9" x14ac:dyDescent="0.45">
      <c r="A282" s="1" t="s">
        <v>17</v>
      </c>
      <c r="B282" s="1" t="s">
        <v>54</v>
      </c>
      <c r="C282" s="1" t="s">
        <v>55</v>
      </c>
      <c r="D282" s="5">
        <v>48409.120000000003</v>
      </c>
      <c r="E282" s="5">
        <v>54048.33</v>
      </c>
      <c r="F282" s="5" t="s">
        <v>66</v>
      </c>
      <c r="G282" s="5">
        <v>-5639.2099999999991</v>
      </c>
      <c r="H282" s="5">
        <v>-10.433643370664729</v>
      </c>
      <c r="I282" s="1" t="s">
        <v>67</v>
      </c>
    </row>
    <row r="283" spans="1:9" x14ac:dyDescent="0.45">
      <c r="A283" s="1" t="s">
        <v>16</v>
      </c>
      <c r="B283" s="1" t="s">
        <v>54</v>
      </c>
      <c r="C283" s="1" t="s">
        <v>55</v>
      </c>
      <c r="D283" s="5">
        <v>48561.7</v>
      </c>
      <c r="E283" s="5">
        <v>54184.480000000003</v>
      </c>
      <c r="F283" s="5" t="s">
        <v>66</v>
      </c>
      <c r="G283" s="5">
        <v>-5622.7800000000061</v>
      </c>
      <c r="H283" s="5">
        <v>-10.377104292594501</v>
      </c>
      <c r="I283" s="1" t="s">
        <v>67</v>
      </c>
    </row>
    <row r="284" spans="1:9" x14ac:dyDescent="0.45">
      <c r="A284" s="1" t="s">
        <v>16</v>
      </c>
      <c r="B284" s="1" t="s">
        <v>31</v>
      </c>
      <c r="C284" s="1" t="s">
        <v>53</v>
      </c>
      <c r="D284" s="5">
        <v>46123.5</v>
      </c>
      <c r="E284" s="5">
        <v>51689.59</v>
      </c>
      <c r="F284" s="5" t="s">
        <v>66</v>
      </c>
      <c r="G284" s="5">
        <v>-5566.0899999999974</v>
      </c>
      <c r="H284" s="5">
        <v>-10.76829976790297</v>
      </c>
      <c r="I284" s="1" t="s">
        <v>68</v>
      </c>
    </row>
    <row r="285" spans="1:9" x14ac:dyDescent="0.45">
      <c r="A285" s="1" t="s">
        <v>7</v>
      </c>
      <c r="B285" s="1" t="s">
        <v>31</v>
      </c>
      <c r="C285" s="1" t="s">
        <v>46</v>
      </c>
      <c r="D285" s="5">
        <v>60593.35</v>
      </c>
      <c r="E285" s="5">
        <v>66104.2</v>
      </c>
      <c r="F285" s="5" t="s">
        <v>66</v>
      </c>
      <c r="G285" s="5">
        <v>-5510.8499999999995</v>
      </c>
      <c r="H285" s="5">
        <v>-8.336610986896444</v>
      </c>
      <c r="I285" s="1" t="s">
        <v>68</v>
      </c>
    </row>
    <row r="286" spans="1:9" x14ac:dyDescent="0.45">
      <c r="A286" s="1" t="s">
        <v>6</v>
      </c>
      <c r="B286" s="1" t="s">
        <v>54</v>
      </c>
      <c r="C286" s="1" t="s">
        <v>55</v>
      </c>
      <c r="D286" s="5">
        <v>50493.29</v>
      </c>
      <c r="E286" s="5">
        <v>55946.06</v>
      </c>
      <c r="F286" s="5" t="s">
        <v>66</v>
      </c>
      <c r="G286" s="5">
        <v>-5452.7699999999968</v>
      </c>
      <c r="H286" s="5">
        <v>-9.7464772318193571</v>
      </c>
      <c r="I286" s="1" t="s">
        <v>67</v>
      </c>
    </row>
    <row r="287" spans="1:9" x14ac:dyDescent="0.45">
      <c r="A287" s="1" t="s">
        <v>3</v>
      </c>
      <c r="B287" s="1" t="s">
        <v>31</v>
      </c>
      <c r="C287" s="1" t="s">
        <v>35</v>
      </c>
      <c r="D287" s="5">
        <v>44590.7</v>
      </c>
      <c r="E287" s="5">
        <v>49979.4</v>
      </c>
      <c r="F287" s="5" t="s">
        <v>66</v>
      </c>
      <c r="G287" s="5">
        <v>-5388.7000000000044</v>
      </c>
      <c r="H287" s="5">
        <v>-10.781842118953019</v>
      </c>
      <c r="I287" s="1" t="s">
        <v>68</v>
      </c>
    </row>
    <row r="288" spans="1:9" x14ac:dyDescent="0.45">
      <c r="A288" s="1" t="s">
        <v>13</v>
      </c>
      <c r="B288" s="1" t="s">
        <v>54</v>
      </c>
      <c r="C288" s="1" t="s">
        <v>55</v>
      </c>
      <c r="D288" s="5">
        <v>47602.92</v>
      </c>
      <c r="E288" s="5">
        <v>52971.82</v>
      </c>
      <c r="F288" s="5" t="s">
        <v>66</v>
      </c>
      <c r="G288" s="5">
        <v>-5368.9000000000005</v>
      </c>
      <c r="H288" s="5">
        <v>-10.13538896719048</v>
      </c>
      <c r="I288" s="1" t="s">
        <v>67</v>
      </c>
    </row>
    <row r="289" spans="1:9" x14ac:dyDescent="0.45">
      <c r="A289" s="1" t="s">
        <v>12</v>
      </c>
      <c r="B289" s="1" t="s">
        <v>54</v>
      </c>
      <c r="C289" s="1" t="s">
        <v>55</v>
      </c>
      <c r="D289" s="5">
        <v>51040.36</v>
      </c>
      <c r="E289" s="5">
        <v>56378.85</v>
      </c>
      <c r="F289" s="5" t="s">
        <v>66</v>
      </c>
      <c r="G289" s="5">
        <v>-5338.489999999998</v>
      </c>
      <c r="H289" s="5">
        <v>-9.4689586609162788</v>
      </c>
      <c r="I289" s="1" t="s">
        <v>67</v>
      </c>
    </row>
    <row r="290" spans="1:9" x14ac:dyDescent="0.45">
      <c r="A290" s="1" t="s">
        <v>10</v>
      </c>
      <c r="B290" s="1" t="s">
        <v>31</v>
      </c>
      <c r="C290" s="1" t="s">
        <v>43</v>
      </c>
      <c r="D290" s="5">
        <v>39188.620000000003</v>
      </c>
      <c r="E290" s="5">
        <v>44521.54</v>
      </c>
      <c r="F290" s="5" t="s">
        <v>66</v>
      </c>
      <c r="G290" s="5">
        <v>-5332.9199999999983</v>
      </c>
      <c r="H290" s="5">
        <v>-11.97829185603193</v>
      </c>
      <c r="I290" s="1" t="s">
        <v>68</v>
      </c>
    </row>
    <row r="291" spans="1:9" x14ac:dyDescent="0.45">
      <c r="A291" s="1" t="s">
        <v>7</v>
      </c>
      <c r="B291" s="1" t="s">
        <v>31</v>
      </c>
      <c r="C291" s="1" t="s">
        <v>43</v>
      </c>
      <c r="D291" s="5">
        <v>32347.09</v>
      </c>
      <c r="E291" s="5">
        <v>37655.29</v>
      </c>
      <c r="F291" s="5" t="s">
        <v>66</v>
      </c>
      <c r="G291" s="5">
        <v>-5308.2000000000007</v>
      </c>
      <c r="H291" s="5">
        <v>-14.096824111565731</v>
      </c>
      <c r="I291" s="1" t="s">
        <v>68</v>
      </c>
    </row>
    <row r="292" spans="1:9" x14ac:dyDescent="0.45">
      <c r="A292" s="1" t="s">
        <v>18</v>
      </c>
      <c r="B292" s="1" t="s">
        <v>27</v>
      </c>
      <c r="C292" s="1" t="s">
        <v>29</v>
      </c>
      <c r="D292" s="5">
        <v>164962.56</v>
      </c>
      <c r="E292" s="5">
        <v>170142.65</v>
      </c>
      <c r="F292" s="5" t="s">
        <v>66</v>
      </c>
      <c r="G292" s="5">
        <v>-5180.0899999999974</v>
      </c>
      <c r="H292" s="5">
        <v>-3.044557023180253</v>
      </c>
      <c r="I292" s="1" t="s">
        <v>68</v>
      </c>
    </row>
    <row r="293" spans="1:9" x14ac:dyDescent="0.45">
      <c r="A293" s="1" t="s">
        <v>5</v>
      </c>
      <c r="B293" s="1" t="s">
        <v>31</v>
      </c>
      <c r="C293" s="1" t="s">
        <v>51</v>
      </c>
      <c r="D293" s="5">
        <v>52323.07</v>
      </c>
      <c r="E293" s="5">
        <v>47154.99</v>
      </c>
      <c r="F293" s="5" t="s">
        <v>66</v>
      </c>
      <c r="G293" s="5">
        <v>5168.0800000000017</v>
      </c>
      <c r="H293" s="5">
        <v>10.959773292285719</v>
      </c>
      <c r="I293" s="1" t="s">
        <v>67</v>
      </c>
    </row>
    <row r="294" spans="1:9" x14ac:dyDescent="0.45">
      <c r="A294" s="1" t="s">
        <v>7</v>
      </c>
      <c r="B294" s="1" t="s">
        <v>31</v>
      </c>
      <c r="C294" s="1" t="s">
        <v>51</v>
      </c>
      <c r="D294" s="5">
        <v>31564.59</v>
      </c>
      <c r="E294" s="5">
        <v>36691.410000000003</v>
      </c>
      <c r="F294" s="5" t="s">
        <v>66</v>
      </c>
      <c r="G294" s="5">
        <v>-5126.8200000000033</v>
      </c>
      <c r="H294" s="5">
        <v>-13.972807259246791</v>
      </c>
      <c r="I294" s="1" t="s">
        <v>68</v>
      </c>
    </row>
    <row r="295" spans="1:9" x14ac:dyDescent="0.45">
      <c r="A295" s="1" t="s">
        <v>24</v>
      </c>
      <c r="B295" s="1" t="s">
        <v>31</v>
      </c>
      <c r="C295" s="1" t="s">
        <v>40</v>
      </c>
      <c r="D295" s="5">
        <v>16381.64</v>
      </c>
      <c r="E295" s="5">
        <v>21489.759999999998</v>
      </c>
      <c r="F295" s="5" t="s">
        <v>66</v>
      </c>
      <c r="G295" s="5">
        <v>-5108.119999999999</v>
      </c>
      <c r="H295" s="5">
        <v>-23.770018836878581</v>
      </c>
      <c r="I295" s="1" t="s">
        <v>68</v>
      </c>
    </row>
    <row r="296" spans="1:9" x14ac:dyDescent="0.45">
      <c r="A296" s="1" t="s">
        <v>26</v>
      </c>
      <c r="B296" s="1" t="s">
        <v>31</v>
      </c>
      <c r="C296" s="1" t="s">
        <v>52</v>
      </c>
      <c r="D296" s="5">
        <v>99858.07</v>
      </c>
      <c r="E296" s="5">
        <v>104933.72</v>
      </c>
      <c r="F296" s="5" t="s">
        <v>66</v>
      </c>
      <c r="G296" s="5">
        <v>-5075.6499999999942</v>
      </c>
      <c r="H296" s="5">
        <v>-4.8370056832064989</v>
      </c>
      <c r="I296" s="1" t="s">
        <v>68</v>
      </c>
    </row>
    <row r="297" spans="1:9" x14ac:dyDescent="0.45">
      <c r="A297" s="1" t="s">
        <v>6</v>
      </c>
      <c r="B297" s="1" t="s">
        <v>31</v>
      </c>
      <c r="C297" s="1" t="s">
        <v>43</v>
      </c>
      <c r="D297" s="5">
        <v>36309.4</v>
      </c>
      <c r="E297" s="5">
        <v>41377.53</v>
      </c>
      <c r="F297" s="5" t="s">
        <v>66</v>
      </c>
      <c r="G297" s="5">
        <v>-5068.1299999999974</v>
      </c>
      <c r="H297" s="5">
        <v>-12.248507825382511</v>
      </c>
      <c r="I297" s="1" t="s">
        <v>68</v>
      </c>
    </row>
    <row r="298" spans="1:9" x14ac:dyDescent="0.45">
      <c r="A298" s="1" t="s">
        <v>17</v>
      </c>
      <c r="B298" s="1" t="s">
        <v>31</v>
      </c>
      <c r="C298" s="1" t="s">
        <v>48</v>
      </c>
      <c r="D298" s="5">
        <v>100583.61</v>
      </c>
      <c r="E298" s="5">
        <v>95548.76</v>
      </c>
      <c r="F298" s="5" t="s">
        <v>66</v>
      </c>
      <c r="G298" s="5">
        <v>5034.8500000000058</v>
      </c>
      <c r="H298" s="5">
        <v>5.2694038101593428</v>
      </c>
      <c r="I298" s="1" t="s">
        <v>67</v>
      </c>
    </row>
    <row r="299" spans="1:9" x14ac:dyDescent="0.45">
      <c r="A299" s="1" t="s">
        <v>22</v>
      </c>
      <c r="B299" s="1" t="s">
        <v>31</v>
      </c>
      <c r="C299" s="1" t="s">
        <v>47</v>
      </c>
      <c r="D299" s="5">
        <v>98401.76</v>
      </c>
      <c r="E299" s="5">
        <v>93448.94</v>
      </c>
      <c r="F299" s="5" t="s">
        <v>66</v>
      </c>
      <c r="G299" s="5">
        <v>4952.8199999999924</v>
      </c>
      <c r="H299" s="5">
        <v>5.3000280152990413</v>
      </c>
      <c r="I299" s="1" t="s">
        <v>67</v>
      </c>
    </row>
    <row r="300" spans="1:9" x14ac:dyDescent="0.45">
      <c r="A300" s="1" t="s">
        <v>6</v>
      </c>
      <c r="B300" s="1" t="s">
        <v>31</v>
      </c>
      <c r="C300" s="1" t="s">
        <v>40</v>
      </c>
      <c r="D300" s="5">
        <v>17155.759999999998</v>
      </c>
      <c r="E300" s="5">
        <v>22000.51</v>
      </c>
      <c r="F300" s="5" t="s">
        <v>66</v>
      </c>
      <c r="G300" s="5">
        <v>-4844.75</v>
      </c>
      <c r="H300" s="5">
        <v>-22.021080420408438</v>
      </c>
      <c r="I300" s="1" t="s">
        <v>68</v>
      </c>
    </row>
    <row r="301" spans="1:9" x14ac:dyDescent="0.45">
      <c r="A301" s="1" t="s">
        <v>24</v>
      </c>
      <c r="B301" s="1" t="s">
        <v>27</v>
      </c>
      <c r="C301" s="1" t="s">
        <v>29</v>
      </c>
      <c r="D301" s="5">
        <v>189155.11</v>
      </c>
      <c r="E301" s="5">
        <v>193978.52</v>
      </c>
      <c r="F301" s="5" t="s">
        <v>66</v>
      </c>
      <c r="G301" s="5">
        <v>-4823.4100000000026</v>
      </c>
      <c r="H301" s="5">
        <v>-2.486569131468785</v>
      </c>
      <c r="I301" s="1" t="s">
        <v>68</v>
      </c>
    </row>
    <row r="302" spans="1:9" x14ac:dyDescent="0.45">
      <c r="A302" s="1" t="s">
        <v>10</v>
      </c>
      <c r="B302" s="1" t="s">
        <v>31</v>
      </c>
      <c r="C302" s="1" t="s">
        <v>51</v>
      </c>
      <c r="D302" s="5">
        <v>28043.41</v>
      </c>
      <c r="E302" s="5">
        <v>32834.300000000003</v>
      </c>
      <c r="F302" s="5" t="s">
        <v>66</v>
      </c>
      <c r="G302" s="5">
        <v>-4790.8900000000031</v>
      </c>
      <c r="H302" s="5">
        <v>-14.59111356112359</v>
      </c>
      <c r="I302" s="1" t="s">
        <v>68</v>
      </c>
    </row>
    <row r="303" spans="1:9" x14ac:dyDescent="0.45">
      <c r="A303" s="1" t="s">
        <v>7</v>
      </c>
      <c r="B303" s="1" t="s">
        <v>31</v>
      </c>
      <c r="C303" s="1" t="s">
        <v>53</v>
      </c>
      <c r="D303" s="5">
        <v>38662.89</v>
      </c>
      <c r="E303" s="5">
        <v>43330.400000000001</v>
      </c>
      <c r="F303" s="5" t="s">
        <v>66</v>
      </c>
      <c r="G303" s="5">
        <v>-4667.510000000002</v>
      </c>
      <c r="H303" s="5">
        <v>-10.77190609825896</v>
      </c>
      <c r="I303" s="1" t="s">
        <v>68</v>
      </c>
    </row>
    <row r="304" spans="1:9" x14ac:dyDescent="0.45">
      <c r="A304" s="1" t="s">
        <v>14</v>
      </c>
      <c r="B304" s="1" t="s">
        <v>31</v>
      </c>
      <c r="C304" s="1" t="s">
        <v>46</v>
      </c>
      <c r="D304" s="5">
        <v>88915.3</v>
      </c>
      <c r="E304" s="5">
        <v>84264.04</v>
      </c>
      <c r="F304" s="5" t="s">
        <v>66</v>
      </c>
      <c r="G304" s="5">
        <v>4651.2600000000093</v>
      </c>
      <c r="H304" s="5">
        <v>5.5198635147329869</v>
      </c>
      <c r="I304" s="1" t="s">
        <v>67</v>
      </c>
    </row>
    <row r="305" spans="1:9" x14ac:dyDescent="0.45">
      <c r="A305" s="1" t="s">
        <v>11</v>
      </c>
      <c r="B305" s="1" t="s">
        <v>31</v>
      </c>
      <c r="C305" s="1" t="s">
        <v>39</v>
      </c>
      <c r="D305" s="5">
        <v>13905.15</v>
      </c>
      <c r="E305" s="5">
        <v>18538.98</v>
      </c>
      <c r="F305" s="5" t="s">
        <v>66</v>
      </c>
      <c r="G305" s="5">
        <v>-4633.83</v>
      </c>
      <c r="H305" s="5">
        <v>-24.99506445338417</v>
      </c>
      <c r="I305" s="1" t="s">
        <v>68</v>
      </c>
    </row>
    <row r="306" spans="1:9" x14ac:dyDescent="0.45">
      <c r="A306" s="1" t="s">
        <v>26</v>
      </c>
      <c r="B306" s="1" t="s">
        <v>31</v>
      </c>
      <c r="C306" s="1" t="s">
        <v>40</v>
      </c>
      <c r="D306" s="5">
        <v>26351.39</v>
      </c>
      <c r="E306" s="5">
        <v>21736.720000000001</v>
      </c>
      <c r="F306" s="5" t="s">
        <v>66</v>
      </c>
      <c r="G306" s="5">
        <v>4614.6699999999983</v>
      </c>
      <c r="H306" s="5">
        <v>21.229835964211698</v>
      </c>
      <c r="I306" s="1" t="s">
        <v>67</v>
      </c>
    </row>
    <row r="307" spans="1:9" x14ac:dyDescent="0.45">
      <c r="A307" s="1" t="s">
        <v>22</v>
      </c>
      <c r="B307" s="1" t="s">
        <v>31</v>
      </c>
      <c r="C307" s="1" t="s">
        <v>37</v>
      </c>
      <c r="D307" s="5">
        <v>19737.27</v>
      </c>
      <c r="E307" s="5">
        <v>24331.119999999999</v>
      </c>
      <c r="F307" s="5" t="s">
        <v>66</v>
      </c>
      <c r="G307" s="5">
        <v>-4593.8499999999995</v>
      </c>
      <c r="H307" s="5">
        <v>-18.88055297084556</v>
      </c>
      <c r="I307" s="1" t="s">
        <v>68</v>
      </c>
    </row>
    <row r="308" spans="1:9" x14ac:dyDescent="0.45">
      <c r="A308" s="1" t="s">
        <v>4</v>
      </c>
      <c r="B308" s="1" t="s">
        <v>31</v>
      </c>
      <c r="C308" s="1" t="s">
        <v>44</v>
      </c>
      <c r="D308" s="5">
        <v>106848.84</v>
      </c>
      <c r="E308" s="5">
        <v>111417.03</v>
      </c>
      <c r="F308" s="5" t="s">
        <v>66</v>
      </c>
      <c r="G308" s="5">
        <v>-4568.1900000000023</v>
      </c>
      <c r="H308" s="5">
        <v>-4.1000823662235497</v>
      </c>
      <c r="I308" s="1" t="s">
        <v>68</v>
      </c>
    </row>
    <row r="309" spans="1:9" x14ac:dyDescent="0.45">
      <c r="A309" s="1" t="s">
        <v>8</v>
      </c>
      <c r="B309" s="1" t="s">
        <v>31</v>
      </c>
      <c r="C309" s="1" t="s">
        <v>43</v>
      </c>
      <c r="D309" s="5">
        <v>30715.200000000001</v>
      </c>
      <c r="E309" s="5">
        <v>35272.03</v>
      </c>
      <c r="F309" s="5" t="s">
        <v>66</v>
      </c>
      <c r="G309" s="5">
        <v>-4556.8299999999981</v>
      </c>
      <c r="H309" s="5">
        <v>-12.919103323511569</v>
      </c>
      <c r="I309" s="1" t="s">
        <v>68</v>
      </c>
    </row>
    <row r="310" spans="1:9" x14ac:dyDescent="0.45">
      <c r="A310" s="1" t="s">
        <v>18</v>
      </c>
      <c r="B310" s="1" t="s">
        <v>31</v>
      </c>
      <c r="C310" s="1" t="s">
        <v>39</v>
      </c>
      <c r="D310" s="5">
        <v>12969.88</v>
      </c>
      <c r="E310" s="5">
        <v>17511.77</v>
      </c>
      <c r="F310" s="5" t="s">
        <v>66</v>
      </c>
      <c r="G310" s="5">
        <v>-4541.8900000000012</v>
      </c>
      <c r="H310" s="5">
        <v>-25.9362131869023</v>
      </c>
      <c r="I310" s="1" t="s">
        <v>68</v>
      </c>
    </row>
    <row r="311" spans="1:9" x14ac:dyDescent="0.45">
      <c r="A311" s="1" t="s">
        <v>11</v>
      </c>
      <c r="B311" s="1" t="s">
        <v>31</v>
      </c>
      <c r="C311" s="1" t="s">
        <v>53</v>
      </c>
      <c r="D311" s="5">
        <v>47378.43</v>
      </c>
      <c r="E311" s="5">
        <v>51913.26</v>
      </c>
      <c r="F311" s="5" t="s">
        <v>66</v>
      </c>
      <c r="G311" s="5">
        <v>-4534.8300000000017</v>
      </c>
      <c r="H311" s="5">
        <v>-8.7353982392937795</v>
      </c>
      <c r="I311" s="1" t="s">
        <v>68</v>
      </c>
    </row>
    <row r="312" spans="1:9" x14ac:dyDescent="0.45">
      <c r="A312" s="1" t="s">
        <v>6</v>
      </c>
      <c r="B312" s="1" t="s">
        <v>31</v>
      </c>
      <c r="C312" s="1" t="s">
        <v>51</v>
      </c>
      <c r="D312" s="5">
        <v>32748</v>
      </c>
      <c r="E312" s="5">
        <v>37266.33</v>
      </c>
      <c r="F312" s="5" t="s">
        <v>66</v>
      </c>
      <c r="G312" s="5">
        <v>-4518.3300000000017</v>
      </c>
      <c r="H312" s="5">
        <v>-12.124429746637251</v>
      </c>
      <c r="I312" s="1" t="s">
        <v>68</v>
      </c>
    </row>
    <row r="313" spans="1:9" x14ac:dyDescent="0.45">
      <c r="A313" s="1" t="s">
        <v>10</v>
      </c>
      <c r="B313" s="1" t="s">
        <v>54</v>
      </c>
      <c r="C313" s="1" t="s">
        <v>55</v>
      </c>
      <c r="D313" s="5">
        <v>51830.879999999997</v>
      </c>
      <c r="E313" s="5">
        <v>56285.65</v>
      </c>
      <c r="F313" s="5" t="s">
        <v>66</v>
      </c>
      <c r="G313" s="5">
        <v>-4454.7700000000041</v>
      </c>
      <c r="H313" s="5">
        <v>-7.9145750293369694</v>
      </c>
      <c r="I313" s="1" t="s">
        <v>67</v>
      </c>
    </row>
    <row r="314" spans="1:9" x14ac:dyDescent="0.45">
      <c r="A314" s="1" t="s">
        <v>3</v>
      </c>
      <c r="B314" s="1" t="s">
        <v>31</v>
      </c>
      <c r="C314" s="1" t="s">
        <v>37</v>
      </c>
      <c r="D314" s="5">
        <v>19613.86</v>
      </c>
      <c r="E314" s="5">
        <v>23951.29</v>
      </c>
      <c r="F314" s="5" t="s">
        <v>66</v>
      </c>
      <c r="G314" s="5">
        <v>-4337.43</v>
      </c>
      <c r="H314" s="5">
        <v>-18.109379494799651</v>
      </c>
      <c r="I314" s="1" t="s">
        <v>68</v>
      </c>
    </row>
    <row r="315" spans="1:9" x14ac:dyDescent="0.45">
      <c r="A315" s="1" t="s">
        <v>14</v>
      </c>
      <c r="B315" s="1" t="s">
        <v>31</v>
      </c>
      <c r="C315" s="1" t="s">
        <v>33</v>
      </c>
      <c r="D315" s="5">
        <v>23204.07</v>
      </c>
      <c r="E315" s="5">
        <v>27539.11</v>
      </c>
      <c r="F315" s="5" t="s">
        <v>66</v>
      </c>
      <c r="G315" s="5">
        <v>-4335.0400000000009</v>
      </c>
      <c r="H315" s="5">
        <v>-15.74139469285682</v>
      </c>
      <c r="I315" s="1" t="s">
        <v>68</v>
      </c>
    </row>
    <row r="316" spans="1:9" x14ac:dyDescent="0.45">
      <c r="A316" s="1" t="s">
        <v>23</v>
      </c>
      <c r="B316" s="1" t="s">
        <v>31</v>
      </c>
      <c r="C316" s="1" t="s">
        <v>47</v>
      </c>
      <c r="D316" s="5">
        <v>79702.720000000001</v>
      </c>
      <c r="E316" s="5">
        <v>84016.71</v>
      </c>
      <c r="F316" s="5" t="s">
        <v>66</v>
      </c>
      <c r="G316" s="5">
        <v>-4313.9900000000052</v>
      </c>
      <c r="H316" s="5">
        <v>-5.1346809462070162</v>
      </c>
      <c r="I316" s="1" t="s">
        <v>68</v>
      </c>
    </row>
    <row r="317" spans="1:9" x14ac:dyDescent="0.45">
      <c r="A317" s="1" t="s">
        <v>6</v>
      </c>
      <c r="B317" s="1" t="s">
        <v>31</v>
      </c>
      <c r="C317" s="1" t="s">
        <v>53</v>
      </c>
      <c r="D317" s="5">
        <v>36185.01</v>
      </c>
      <c r="E317" s="5">
        <v>40495.32</v>
      </c>
      <c r="F317" s="5" t="s">
        <v>66</v>
      </c>
      <c r="G317" s="5">
        <v>-4310.3099999999977</v>
      </c>
      <c r="H317" s="5">
        <v>-10.64397071068953</v>
      </c>
      <c r="I317" s="1" t="s">
        <v>68</v>
      </c>
    </row>
    <row r="318" spans="1:9" x14ac:dyDescent="0.45">
      <c r="A318" s="1" t="s">
        <v>19</v>
      </c>
      <c r="B318" s="1" t="s">
        <v>31</v>
      </c>
      <c r="C318" s="1" t="s">
        <v>37</v>
      </c>
      <c r="D318" s="5">
        <v>23518.93</v>
      </c>
      <c r="E318" s="5">
        <v>27818.59</v>
      </c>
      <c r="F318" s="5" t="s">
        <v>66</v>
      </c>
      <c r="G318" s="5">
        <v>-4299.66</v>
      </c>
      <c r="H318" s="5">
        <v>-15.456067327639539</v>
      </c>
      <c r="I318" s="1" t="s">
        <v>68</v>
      </c>
    </row>
    <row r="319" spans="1:9" x14ac:dyDescent="0.45">
      <c r="A319" s="1" t="s">
        <v>13</v>
      </c>
      <c r="B319" s="1" t="s">
        <v>31</v>
      </c>
      <c r="C319" s="1" t="s">
        <v>40</v>
      </c>
      <c r="D319" s="5">
        <v>15762.11</v>
      </c>
      <c r="E319" s="5">
        <v>20044.009999999998</v>
      </c>
      <c r="F319" s="5" t="s">
        <v>66</v>
      </c>
      <c r="G319" s="5">
        <v>-4281.8999999999978</v>
      </c>
      <c r="H319" s="5">
        <v>-21.3624918367133</v>
      </c>
      <c r="I319" s="1" t="s">
        <v>68</v>
      </c>
    </row>
    <row r="320" spans="1:9" x14ac:dyDescent="0.45">
      <c r="A320" s="1" t="s">
        <v>17</v>
      </c>
      <c r="B320" s="1" t="s">
        <v>31</v>
      </c>
      <c r="C320" s="1" t="s">
        <v>53</v>
      </c>
      <c r="D320" s="5">
        <v>39494.199999999997</v>
      </c>
      <c r="E320" s="5">
        <v>43766.44</v>
      </c>
      <c r="F320" s="5" t="s">
        <v>66</v>
      </c>
      <c r="G320" s="5">
        <v>-4272.2400000000052</v>
      </c>
      <c r="H320" s="5">
        <v>-9.7614519252651224</v>
      </c>
      <c r="I320" s="1" t="s">
        <v>68</v>
      </c>
    </row>
    <row r="321" spans="1:9" x14ac:dyDescent="0.45">
      <c r="A321" s="1" t="s">
        <v>22</v>
      </c>
      <c r="B321" s="1" t="s">
        <v>31</v>
      </c>
      <c r="C321" s="1" t="s">
        <v>43</v>
      </c>
      <c r="D321" s="5">
        <v>42934.75</v>
      </c>
      <c r="E321" s="5">
        <v>47200.66</v>
      </c>
      <c r="F321" s="5" t="s">
        <v>66</v>
      </c>
      <c r="G321" s="5">
        <v>-4265.9100000000026</v>
      </c>
      <c r="H321" s="5">
        <v>-9.0378185389780636</v>
      </c>
      <c r="I321" s="1" t="s">
        <v>68</v>
      </c>
    </row>
    <row r="322" spans="1:9" x14ac:dyDescent="0.45">
      <c r="A322" s="1" t="s">
        <v>16</v>
      </c>
      <c r="B322" s="1" t="s">
        <v>31</v>
      </c>
      <c r="C322" s="1" t="s">
        <v>39</v>
      </c>
      <c r="D322" s="5">
        <v>13695.15</v>
      </c>
      <c r="E322" s="5">
        <v>17905.66</v>
      </c>
      <c r="F322" s="5" t="s">
        <v>66</v>
      </c>
      <c r="G322" s="5">
        <v>-4210.51</v>
      </c>
      <c r="H322" s="5">
        <v>-23.51496677586864</v>
      </c>
      <c r="I322" s="1" t="s">
        <v>68</v>
      </c>
    </row>
    <row r="323" spans="1:9" x14ac:dyDescent="0.45">
      <c r="A323" s="1" t="s">
        <v>19</v>
      </c>
      <c r="B323" s="1" t="s">
        <v>31</v>
      </c>
      <c r="C323" s="1" t="s">
        <v>51</v>
      </c>
      <c r="D323" s="5">
        <v>33116.06</v>
      </c>
      <c r="E323" s="5">
        <v>37290.17</v>
      </c>
      <c r="F323" s="5" t="s">
        <v>66</v>
      </c>
      <c r="G323" s="5">
        <v>-4174.1100000000006</v>
      </c>
      <c r="H323" s="5">
        <v>-11.19359337863035</v>
      </c>
      <c r="I323" s="1" t="s">
        <v>68</v>
      </c>
    </row>
    <row r="324" spans="1:9" x14ac:dyDescent="0.45">
      <c r="A324" s="1" t="s">
        <v>14</v>
      </c>
      <c r="B324" s="1" t="s">
        <v>31</v>
      </c>
      <c r="C324" s="1" t="s">
        <v>53</v>
      </c>
      <c r="D324" s="5">
        <v>36827.519999999997</v>
      </c>
      <c r="E324" s="5">
        <v>40994.800000000003</v>
      </c>
      <c r="F324" s="5" t="s">
        <v>66</v>
      </c>
      <c r="G324" s="5">
        <v>-4167.2800000000061</v>
      </c>
      <c r="H324" s="5">
        <v>-10.16538682954913</v>
      </c>
      <c r="I324" s="1" t="s">
        <v>68</v>
      </c>
    </row>
    <row r="325" spans="1:9" x14ac:dyDescent="0.45">
      <c r="A325" s="1" t="s">
        <v>20</v>
      </c>
      <c r="B325" s="1" t="s">
        <v>54</v>
      </c>
      <c r="C325" s="1" t="s">
        <v>58</v>
      </c>
      <c r="D325" s="5">
        <v>220538.02</v>
      </c>
      <c r="E325" s="5">
        <v>224699.42</v>
      </c>
      <c r="F325" s="5" t="s">
        <v>66</v>
      </c>
      <c r="G325" s="5">
        <v>-4161.4000000000233</v>
      </c>
      <c r="H325" s="5">
        <v>-1.851985198715699</v>
      </c>
      <c r="I325" s="1" t="s">
        <v>67</v>
      </c>
    </row>
    <row r="326" spans="1:9" x14ac:dyDescent="0.45">
      <c r="A326" s="1" t="s">
        <v>14</v>
      </c>
      <c r="B326" s="1" t="s">
        <v>31</v>
      </c>
      <c r="C326" s="1" t="s">
        <v>43</v>
      </c>
      <c r="D326" s="5">
        <v>38194.44</v>
      </c>
      <c r="E326" s="5">
        <v>42320.24</v>
      </c>
      <c r="F326" s="5" t="s">
        <v>66</v>
      </c>
      <c r="G326" s="5">
        <v>-4125.7999999999956</v>
      </c>
      <c r="H326" s="5">
        <v>-9.748999533083925</v>
      </c>
      <c r="I326" s="1" t="s">
        <v>68</v>
      </c>
    </row>
    <row r="327" spans="1:9" x14ac:dyDescent="0.45">
      <c r="A327" s="1" t="s">
        <v>19</v>
      </c>
      <c r="B327" s="1" t="s">
        <v>31</v>
      </c>
      <c r="C327" s="1" t="s">
        <v>41</v>
      </c>
      <c r="D327" s="5">
        <v>7933.54</v>
      </c>
      <c r="E327" s="5">
        <v>12052.2</v>
      </c>
      <c r="F327" s="5" t="s">
        <v>66</v>
      </c>
      <c r="G327" s="5">
        <v>-4118.6600000000008</v>
      </c>
      <c r="H327" s="5">
        <v>-34.173511889945409</v>
      </c>
      <c r="I327" s="1" t="s">
        <v>68</v>
      </c>
    </row>
    <row r="328" spans="1:9" x14ac:dyDescent="0.45">
      <c r="A328" s="1" t="s">
        <v>18</v>
      </c>
      <c r="B328" s="1" t="s">
        <v>31</v>
      </c>
      <c r="C328" s="1" t="s">
        <v>41</v>
      </c>
      <c r="D328" s="5">
        <v>9251.15</v>
      </c>
      <c r="E328" s="5">
        <v>13361.96</v>
      </c>
      <c r="F328" s="5" t="s">
        <v>66</v>
      </c>
      <c r="G328" s="5">
        <v>-4110.8099999999986</v>
      </c>
      <c r="H328" s="5">
        <v>-30.765022496699579</v>
      </c>
      <c r="I328" s="1" t="s">
        <v>68</v>
      </c>
    </row>
    <row r="329" spans="1:9" x14ac:dyDescent="0.45">
      <c r="A329" s="1" t="s">
        <v>18</v>
      </c>
      <c r="B329" s="1" t="s">
        <v>27</v>
      </c>
      <c r="C329" s="1" t="s">
        <v>30</v>
      </c>
      <c r="D329" s="5">
        <v>54987.519999999997</v>
      </c>
      <c r="E329" s="5">
        <v>50884.95</v>
      </c>
      <c r="F329" s="5" t="s">
        <v>66</v>
      </c>
      <c r="G329" s="5">
        <v>4102.57</v>
      </c>
      <c r="H329" s="5">
        <v>8.0624428244500592</v>
      </c>
      <c r="I329" s="1" t="s">
        <v>67</v>
      </c>
    </row>
    <row r="330" spans="1:9" x14ac:dyDescent="0.45">
      <c r="A330" s="1" t="s">
        <v>4</v>
      </c>
      <c r="B330" s="1" t="s">
        <v>31</v>
      </c>
      <c r="C330" s="1" t="s">
        <v>43</v>
      </c>
      <c r="D330" s="5">
        <v>41227.68</v>
      </c>
      <c r="E330" s="5">
        <v>37140.050000000003</v>
      </c>
      <c r="F330" s="5" t="s">
        <v>66</v>
      </c>
      <c r="G330" s="5">
        <v>4087.6299999999969</v>
      </c>
      <c r="H330" s="5">
        <v>11.00598949112884</v>
      </c>
      <c r="I330" s="1" t="s">
        <v>67</v>
      </c>
    </row>
    <row r="331" spans="1:9" x14ac:dyDescent="0.45">
      <c r="A331" s="1" t="s">
        <v>21</v>
      </c>
      <c r="B331" s="1" t="s">
        <v>31</v>
      </c>
      <c r="C331" s="1" t="s">
        <v>47</v>
      </c>
      <c r="D331" s="5">
        <v>86548.97</v>
      </c>
      <c r="E331" s="5">
        <v>90631.26</v>
      </c>
      <c r="F331" s="5" t="s">
        <v>66</v>
      </c>
      <c r="G331" s="5">
        <v>-4082.2899999999941</v>
      </c>
      <c r="H331" s="5">
        <v>-4.5042847247185946</v>
      </c>
      <c r="I331" s="1" t="s">
        <v>68</v>
      </c>
    </row>
    <row r="332" spans="1:9" x14ac:dyDescent="0.45">
      <c r="A332" s="1" t="s">
        <v>26</v>
      </c>
      <c r="B332" s="1" t="s">
        <v>31</v>
      </c>
      <c r="C332" s="1" t="s">
        <v>39</v>
      </c>
      <c r="D332" s="5">
        <v>12750.68</v>
      </c>
      <c r="E332" s="5">
        <v>16813.759999999998</v>
      </c>
      <c r="F332" s="5" t="s">
        <v>66</v>
      </c>
      <c r="G332" s="5">
        <v>-4063.0799999999981</v>
      </c>
      <c r="H332" s="5">
        <v>-24.16520754429704</v>
      </c>
      <c r="I332" s="1" t="s">
        <v>68</v>
      </c>
    </row>
    <row r="333" spans="1:9" x14ac:dyDescent="0.45">
      <c r="A333" s="1" t="s">
        <v>9</v>
      </c>
      <c r="B333" s="1" t="s">
        <v>31</v>
      </c>
      <c r="C333" s="1" t="s">
        <v>43</v>
      </c>
      <c r="D333" s="5">
        <v>29590.04</v>
      </c>
      <c r="E333" s="5">
        <v>33646.49</v>
      </c>
      <c r="F333" s="5" t="s">
        <v>66</v>
      </c>
      <c r="G333" s="5">
        <v>-4056.4499999999971</v>
      </c>
      <c r="H333" s="5">
        <v>-12.05608668244443</v>
      </c>
      <c r="I333" s="1" t="s">
        <v>68</v>
      </c>
    </row>
    <row r="334" spans="1:9" x14ac:dyDescent="0.45">
      <c r="A334" s="1" t="s">
        <v>15</v>
      </c>
      <c r="B334" s="1" t="s">
        <v>31</v>
      </c>
      <c r="C334" s="1" t="s">
        <v>35</v>
      </c>
      <c r="D334" s="5">
        <v>47555.65</v>
      </c>
      <c r="E334" s="5">
        <v>51593.39</v>
      </c>
      <c r="F334" s="5" t="s">
        <v>66</v>
      </c>
      <c r="G334" s="5">
        <v>-4037.739999999998</v>
      </c>
      <c r="H334" s="5">
        <v>-7.8260800463005014</v>
      </c>
      <c r="I334" s="1" t="s">
        <v>68</v>
      </c>
    </row>
    <row r="335" spans="1:9" x14ac:dyDescent="0.45">
      <c r="A335" s="1" t="s">
        <v>13</v>
      </c>
      <c r="B335" s="1" t="s">
        <v>31</v>
      </c>
      <c r="C335" s="1" t="s">
        <v>51</v>
      </c>
      <c r="D335" s="5">
        <v>30704.53</v>
      </c>
      <c r="E335" s="5">
        <v>34728.15</v>
      </c>
      <c r="F335" s="5" t="s">
        <v>66</v>
      </c>
      <c r="G335" s="5">
        <v>-4023.6200000000031</v>
      </c>
      <c r="H335" s="5">
        <v>-11.58604762994862</v>
      </c>
      <c r="I335" s="1" t="s">
        <v>68</v>
      </c>
    </row>
    <row r="336" spans="1:9" x14ac:dyDescent="0.45">
      <c r="A336" s="1" t="s">
        <v>9</v>
      </c>
      <c r="B336" s="1" t="s">
        <v>54</v>
      </c>
      <c r="C336" s="1" t="s">
        <v>55</v>
      </c>
      <c r="D336" s="5">
        <v>47790.42</v>
      </c>
      <c r="E336" s="5">
        <v>51807.86</v>
      </c>
      <c r="F336" s="5" t="s">
        <v>66</v>
      </c>
      <c r="G336" s="5">
        <v>-4017.4400000000019</v>
      </c>
      <c r="H336" s="5">
        <v>-7.7544990277537087</v>
      </c>
      <c r="I336" s="1" t="s">
        <v>67</v>
      </c>
    </row>
    <row r="337" spans="1:9" x14ac:dyDescent="0.45">
      <c r="A337" s="1" t="s">
        <v>9</v>
      </c>
      <c r="B337" s="1" t="s">
        <v>31</v>
      </c>
      <c r="C337" s="1" t="s">
        <v>33</v>
      </c>
      <c r="D337" s="5">
        <v>22671.06</v>
      </c>
      <c r="E337" s="5">
        <v>26616.73</v>
      </c>
      <c r="F337" s="5" t="s">
        <v>66</v>
      </c>
      <c r="G337" s="5">
        <v>-3945.6699999999978</v>
      </c>
      <c r="H337" s="5">
        <v>-14.82402233482474</v>
      </c>
      <c r="I337" s="1" t="s">
        <v>68</v>
      </c>
    </row>
    <row r="338" spans="1:9" x14ac:dyDescent="0.45">
      <c r="A338" s="1" t="s">
        <v>19</v>
      </c>
      <c r="B338" s="1" t="s">
        <v>31</v>
      </c>
      <c r="C338" s="1" t="s">
        <v>52</v>
      </c>
      <c r="D338" s="5">
        <v>95889.97</v>
      </c>
      <c r="E338" s="5">
        <v>99819.78</v>
      </c>
      <c r="F338" s="5" t="s">
        <v>66</v>
      </c>
      <c r="G338" s="5">
        <v>-3929.8099999999981</v>
      </c>
      <c r="H338" s="5">
        <v>-3.9369050903538341</v>
      </c>
      <c r="I338" s="1" t="s">
        <v>68</v>
      </c>
    </row>
    <row r="339" spans="1:9" x14ac:dyDescent="0.45">
      <c r="A339" s="1" t="s">
        <v>8</v>
      </c>
      <c r="B339" s="1" t="s">
        <v>54</v>
      </c>
      <c r="C339" s="1" t="s">
        <v>55</v>
      </c>
      <c r="D339" s="5">
        <v>48279.97</v>
      </c>
      <c r="E339" s="5">
        <v>52193.55</v>
      </c>
      <c r="F339" s="5" t="s">
        <v>66</v>
      </c>
      <c r="G339" s="5">
        <v>-3913.5800000000022</v>
      </c>
      <c r="H339" s="5">
        <v>-7.4982061959763264</v>
      </c>
      <c r="I339" s="1" t="s">
        <v>67</v>
      </c>
    </row>
    <row r="340" spans="1:9" x14ac:dyDescent="0.45">
      <c r="A340" s="1" t="s">
        <v>22</v>
      </c>
      <c r="B340" s="1" t="s">
        <v>31</v>
      </c>
      <c r="C340" s="1" t="s">
        <v>48</v>
      </c>
      <c r="D340" s="5">
        <v>92833.04</v>
      </c>
      <c r="E340" s="5">
        <v>88928.31</v>
      </c>
      <c r="F340" s="5" t="s">
        <v>66</v>
      </c>
      <c r="G340" s="5">
        <v>3904.7299999999959</v>
      </c>
      <c r="H340" s="5">
        <v>4.3908739522880804</v>
      </c>
      <c r="I340" s="1" t="s">
        <v>67</v>
      </c>
    </row>
    <row r="341" spans="1:9" x14ac:dyDescent="0.45">
      <c r="A341" s="1" t="s">
        <v>3</v>
      </c>
      <c r="B341" s="1" t="s">
        <v>31</v>
      </c>
      <c r="C341" s="1" t="s">
        <v>33</v>
      </c>
      <c r="D341" s="5">
        <v>21925.599999999999</v>
      </c>
      <c r="E341" s="5">
        <v>25774.47</v>
      </c>
      <c r="F341" s="5" t="s">
        <v>66</v>
      </c>
      <c r="G341" s="5">
        <v>-3848.8700000000031</v>
      </c>
      <c r="H341" s="5">
        <v>-14.93287737827394</v>
      </c>
      <c r="I341" s="1" t="s">
        <v>68</v>
      </c>
    </row>
    <row r="342" spans="1:9" x14ac:dyDescent="0.45">
      <c r="A342" s="1" t="s">
        <v>16</v>
      </c>
      <c r="B342" s="1" t="s">
        <v>31</v>
      </c>
      <c r="C342" s="1" t="s">
        <v>44</v>
      </c>
      <c r="D342" s="5">
        <v>115449.18</v>
      </c>
      <c r="E342" s="5">
        <v>119282.88</v>
      </c>
      <c r="F342" s="5" t="s">
        <v>66</v>
      </c>
      <c r="G342" s="5">
        <v>-3833.7000000000121</v>
      </c>
      <c r="H342" s="5">
        <v>-3.2139566046695149</v>
      </c>
      <c r="I342" s="1" t="s">
        <v>68</v>
      </c>
    </row>
    <row r="343" spans="1:9" x14ac:dyDescent="0.45">
      <c r="A343" s="1" t="s">
        <v>25</v>
      </c>
      <c r="B343" s="1" t="s">
        <v>31</v>
      </c>
      <c r="C343" s="1" t="s">
        <v>46</v>
      </c>
      <c r="D343" s="5">
        <v>84391.77</v>
      </c>
      <c r="E343" s="5">
        <v>88200.45</v>
      </c>
      <c r="F343" s="5" t="s">
        <v>66</v>
      </c>
      <c r="G343" s="5">
        <v>-3808.679999999993</v>
      </c>
      <c r="H343" s="5">
        <v>-4.3182092608370972</v>
      </c>
      <c r="I343" s="1" t="s">
        <v>68</v>
      </c>
    </row>
    <row r="344" spans="1:9" x14ac:dyDescent="0.45">
      <c r="A344" s="1" t="s">
        <v>23</v>
      </c>
      <c r="B344" s="1" t="s">
        <v>54</v>
      </c>
      <c r="C344" s="1" t="s">
        <v>55</v>
      </c>
      <c r="D344" s="5">
        <v>50559.26</v>
      </c>
      <c r="E344" s="5">
        <v>54296.75</v>
      </c>
      <c r="F344" s="5" t="s">
        <v>66</v>
      </c>
      <c r="G344" s="5">
        <v>-3737.489999999998</v>
      </c>
      <c r="H344" s="5">
        <v>-6.883450666936783</v>
      </c>
      <c r="I344" s="1" t="s">
        <v>67</v>
      </c>
    </row>
    <row r="345" spans="1:9" x14ac:dyDescent="0.45">
      <c r="A345" s="1" t="s">
        <v>26</v>
      </c>
      <c r="B345" s="1" t="s">
        <v>27</v>
      </c>
      <c r="C345" s="1" t="s">
        <v>30</v>
      </c>
      <c r="D345" s="5">
        <v>75646.62</v>
      </c>
      <c r="E345" s="5">
        <v>79375.839999999997</v>
      </c>
      <c r="F345" s="5" t="s">
        <v>66</v>
      </c>
      <c r="G345" s="5">
        <v>-3729.2200000000012</v>
      </c>
      <c r="H345" s="5">
        <v>-4.6981802019355028</v>
      </c>
      <c r="I345" s="1" t="s">
        <v>68</v>
      </c>
    </row>
    <row r="346" spans="1:9" x14ac:dyDescent="0.45">
      <c r="A346" s="1" t="s">
        <v>19</v>
      </c>
      <c r="B346" s="1" t="s">
        <v>31</v>
      </c>
      <c r="C346" s="1" t="s">
        <v>43</v>
      </c>
      <c r="D346" s="5">
        <v>33990.32</v>
      </c>
      <c r="E346" s="5">
        <v>37615.22</v>
      </c>
      <c r="F346" s="5" t="s">
        <v>66</v>
      </c>
      <c r="G346" s="5">
        <v>-3624.900000000001</v>
      </c>
      <c r="H346" s="5">
        <v>-9.6367906395336824</v>
      </c>
      <c r="I346" s="1" t="s">
        <v>68</v>
      </c>
    </row>
    <row r="347" spans="1:9" x14ac:dyDescent="0.45">
      <c r="A347" s="1" t="s">
        <v>5</v>
      </c>
      <c r="B347" s="1" t="s">
        <v>31</v>
      </c>
      <c r="C347" s="1" t="s">
        <v>40</v>
      </c>
      <c r="D347" s="5">
        <v>17040.68</v>
      </c>
      <c r="E347" s="5">
        <v>20640.599999999999</v>
      </c>
      <c r="F347" s="5" t="s">
        <v>66</v>
      </c>
      <c r="G347" s="5">
        <v>-3599.9199999999978</v>
      </c>
      <c r="H347" s="5">
        <v>-17.440965863395441</v>
      </c>
      <c r="I347" s="1" t="s">
        <v>68</v>
      </c>
    </row>
    <row r="348" spans="1:9" x14ac:dyDescent="0.45">
      <c r="A348" s="1" t="s">
        <v>9</v>
      </c>
      <c r="B348" s="1" t="s">
        <v>31</v>
      </c>
      <c r="C348" s="1" t="s">
        <v>51</v>
      </c>
      <c r="D348" s="5">
        <v>32573.83</v>
      </c>
      <c r="E348" s="5">
        <v>36064.53</v>
      </c>
      <c r="F348" s="5" t="s">
        <v>66</v>
      </c>
      <c r="G348" s="5">
        <v>-3490.6999999999971</v>
      </c>
      <c r="H348" s="5">
        <v>-9.6790392111029782</v>
      </c>
      <c r="I348" s="1" t="s">
        <v>68</v>
      </c>
    </row>
    <row r="349" spans="1:9" x14ac:dyDescent="0.45">
      <c r="A349" s="1" t="s">
        <v>21</v>
      </c>
      <c r="B349" s="1" t="s">
        <v>31</v>
      </c>
      <c r="C349" s="1" t="s">
        <v>51</v>
      </c>
      <c r="D349" s="5">
        <v>31810.76</v>
      </c>
      <c r="E349" s="5">
        <v>35240.92</v>
      </c>
      <c r="F349" s="5" t="s">
        <v>66</v>
      </c>
      <c r="G349" s="5">
        <v>-3430.16</v>
      </c>
      <c r="H349" s="5">
        <v>-9.7334575828326848</v>
      </c>
      <c r="I349" s="1" t="s">
        <v>68</v>
      </c>
    </row>
    <row r="350" spans="1:9" x14ac:dyDescent="0.45">
      <c r="A350" s="1" t="s">
        <v>19</v>
      </c>
      <c r="B350" s="1" t="s">
        <v>31</v>
      </c>
      <c r="C350" s="1" t="s">
        <v>39</v>
      </c>
      <c r="D350" s="5">
        <v>13566.88</v>
      </c>
      <c r="E350" s="5">
        <v>16993.87</v>
      </c>
      <c r="F350" s="5" t="s">
        <v>66</v>
      </c>
      <c r="G350" s="5">
        <v>-3426.99</v>
      </c>
      <c r="H350" s="5">
        <v>-20.166036341339559</v>
      </c>
      <c r="I350" s="1" t="s">
        <v>68</v>
      </c>
    </row>
    <row r="351" spans="1:9" x14ac:dyDescent="0.45">
      <c r="A351" s="1" t="s">
        <v>12</v>
      </c>
      <c r="B351" s="1" t="s">
        <v>31</v>
      </c>
      <c r="C351" s="1" t="s">
        <v>33</v>
      </c>
      <c r="D351" s="5">
        <v>22922.18</v>
      </c>
      <c r="E351" s="5">
        <v>26325.95</v>
      </c>
      <c r="F351" s="5" t="s">
        <v>66</v>
      </c>
      <c r="G351" s="5">
        <v>-3403.77</v>
      </c>
      <c r="H351" s="5">
        <v>-12.92933398414872</v>
      </c>
      <c r="I351" s="1" t="s">
        <v>68</v>
      </c>
    </row>
    <row r="352" spans="1:9" x14ac:dyDescent="0.45">
      <c r="A352" s="1" t="s">
        <v>11</v>
      </c>
      <c r="B352" s="1" t="s">
        <v>31</v>
      </c>
      <c r="C352" s="1" t="s">
        <v>37</v>
      </c>
      <c r="D352" s="5">
        <v>32902.660000000003</v>
      </c>
      <c r="E352" s="5">
        <v>36271.199999999997</v>
      </c>
      <c r="F352" s="5" t="s">
        <v>66</v>
      </c>
      <c r="G352" s="5">
        <v>-3368.5399999999941</v>
      </c>
      <c r="H352" s="5">
        <v>-9.2870927898718367</v>
      </c>
      <c r="I352" s="1" t="s">
        <v>68</v>
      </c>
    </row>
    <row r="353" spans="1:9" x14ac:dyDescent="0.45">
      <c r="A353" s="1" t="s">
        <v>8</v>
      </c>
      <c r="B353" s="1" t="s">
        <v>31</v>
      </c>
      <c r="C353" s="1" t="s">
        <v>40</v>
      </c>
      <c r="D353" s="5">
        <v>25145.78</v>
      </c>
      <c r="E353" s="5">
        <v>21783.88</v>
      </c>
      <c r="F353" s="5" t="s">
        <v>66</v>
      </c>
      <c r="G353" s="5">
        <v>3361.8999999999978</v>
      </c>
      <c r="H353" s="5">
        <v>15.432971536751021</v>
      </c>
      <c r="I353" s="1" t="s">
        <v>67</v>
      </c>
    </row>
    <row r="354" spans="1:9" x14ac:dyDescent="0.45">
      <c r="A354" s="1" t="s">
        <v>7</v>
      </c>
      <c r="B354" s="1" t="s">
        <v>31</v>
      </c>
      <c r="C354" s="1" t="s">
        <v>33</v>
      </c>
      <c r="D354" s="5">
        <v>22572.31</v>
      </c>
      <c r="E354" s="5">
        <v>25922.95</v>
      </c>
      <c r="F354" s="5" t="s">
        <v>66</v>
      </c>
      <c r="G354" s="5">
        <v>-3350.639999999999</v>
      </c>
      <c r="H354" s="5">
        <v>-12.925380791923761</v>
      </c>
      <c r="I354" s="1" t="s">
        <v>68</v>
      </c>
    </row>
    <row r="355" spans="1:9" x14ac:dyDescent="0.45">
      <c r="A355" s="1" t="s">
        <v>13</v>
      </c>
      <c r="B355" s="1" t="s">
        <v>31</v>
      </c>
      <c r="C355" s="1" t="s">
        <v>44</v>
      </c>
      <c r="D355" s="5">
        <v>123843.73</v>
      </c>
      <c r="E355" s="5">
        <v>120494.24</v>
      </c>
      <c r="F355" s="5" t="s">
        <v>66</v>
      </c>
      <c r="G355" s="5">
        <v>3349.4899999999911</v>
      </c>
      <c r="H355" s="5">
        <v>2.7797926274318101</v>
      </c>
      <c r="I355" s="1" t="s">
        <v>67</v>
      </c>
    </row>
    <row r="356" spans="1:9" x14ac:dyDescent="0.45">
      <c r="A356" s="1" t="s">
        <v>25</v>
      </c>
      <c r="B356" s="1" t="s">
        <v>54</v>
      </c>
      <c r="C356" s="1" t="s">
        <v>55</v>
      </c>
      <c r="D356" s="5">
        <v>48960.72</v>
      </c>
      <c r="E356" s="5">
        <v>52301.62</v>
      </c>
      <c r="F356" s="5" t="s">
        <v>66</v>
      </c>
      <c r="G356" s="5">
        <v>-3340.900000000001</v>
      </c>
      <c r="H356" s="5">
        <v>-6.3877562492328179</v>
      </c>
      <c r="I356" s="1" t="s">
        <v>67</v>
      </c>
    </row>
    <row r="357" spans="1:9" x14ac:dyDescent="0.45">
      <c r="A357" s="1" t="s">
        <v>26</v>
      </c>
      <c r="B357" s="1" t="s">
        <v>31</v>
      </c>
      <c r="C357" s="1" t="s">
        <v>35</v>
      </c>
      <c r="D357" s="5">
        <v>50333.46</v>
      </c>
      <c r="E357" s="5">
        <v>53673.66</v>
      </c>
      <c r="F357" s="5" t="s">
        <v>66</v>
      </c>
      <c r="G357" s="5">
        <v>-3340.2000000000039</v>
      </c>
      <c r="H357" s="5">
        <v>-6.2231642112723522</v>
      </c>
      <c r="I357" s="1" t="s">
        <v>68</v>
      </c>
    </row>
    <row r="358" spans="1:9" x14ac:dyDescent="0.45">
      <c r="A358" s="1" t="s">
        <v>7</v>
      </c>
      <c r="B358" s="1" t="s">
        <v>31</v>
      </c>
      <c r="C358" s="1" t="s">
        <v>44</v>
      </c>
      <c r="D358" s="5">
        <v>104905.65</v>
      </c>
      <c r="E358" s="5">
        <v>108211.55</v>
      </c>
      <c r="F358" s="5" t="s">
        <v>66</v>
      </c>
      <c r="G358" s="5">
        <v>-3305.9000000000092</v>
      </c>
      <c r="H358" s="5">
        <v>-3.055034328590625</v>
      </c>
      <c r="I358" s="1" t="s">
        <v>68</v>
      </c>
    </row>
    <row r="359" spans="1:9" x14ac:dyDescent="0.45">
      <c r="A359" s="1" t="s">
        <v>9</v>
      </c>
      <c r="B359" s="1" t="s">
        <v>31</v>
      </c>
      <c r="C359" s="1" t="s">
        <v>40</v>
      </c>
      <c r="D359" s="5">
        <v>21105.66</v>
      </c>
      <c r="E359" s="5">
        <v>24406.02</v>
      </c>
      <c r="F359" s="5" t="s">
        <v>66</v>
      </c>
      <c r="G359" s="5">
        <v>-3300.360000000001</v>
      </c>
      <c r="H359" s="5">
        <v>-13.52272922828057</v>
      </c>
      <c r="I359" s="1" t="s">
        <v>68</v>
      </c>
    </row>
    <row r="360" spans="1:9" x14ac:dyDescent="0.45">
      <c r="A360" s="1" t="s">
        <v>5</v>
      </c>
      <c r="B360" s="1" t="s">
        <v>31</v>
      </c>
      <c r="C360" s="1" t="s">
        <v>33</v>
      </c>
      <c r="D360" s="5">
        <v>22101.72</v>
      </c>
      <c r="E360" s="5">
        <v>25285.47</v>
      </c>
      <c r="F360" s="5" t="s">
        <v>66</v>
      </c>
      <c r="G360" s="5">
        <v>-3183.75</v>
      </c>
      <c r="H360" s="5">
        <v>-12.59122333893734</v>
      </c>
      <c r="I360" s="1" t="s">
        <v>68</v>
      </c>
    </row>
    <row r="361" spans="1:9" x14ac:dyDescent="0.45">
      <c r="A361" s="1" t="s">
        <v>11</v>
      </c>
      <c r="B361" s="1" t="s">
        <v>31</v>
      </c>
      <c r="C361" s="1" t="s">
        <v>40</v>
      </c>
      <c r="D361" s="5">
        <v>14857.57</v>
      </c>
      <c r="E361" s="5">
        <v>18027.689999999999</v>
      </c>
      <c r="F361" s="5" t="s">
        <v>66</v>
      </c>
      <c r="G361" s="5">
        <v>-3170.119999999999</v>
      </c>
      <c r="H361" s="5">
        <v>-17.584726606681159</v>
      </c>
      <c r="I361" s="1" t="s">
        <v>68</v>
      </c>
    </row>
    <row r="362" spans="1:9" x14ac:dyDescent="0.45">
      <c r="A362" s="1" t="s">
        <v>11</v>
      </c>
      <c r="B362" s="1" t="s">
        <v>31</v>
      </c>
      <c r="C362" s="1" t="s">
        <v>33</v>
      </c>
      <c r="D362" s="5">
        <v>22981.07</v>
      </c>
      <c r="E362" s="5">
        <v>26101.29</v>
      </c>
      <c r="F362" s="5" t="s">
        <v>66</v>
      </c>
      <c r="G362" s="5">
        <v>-3120.2200000000012</v>
      </c>
      <c r="H362" s="5">
        <v>-11.95427505690332</v>
      </c>
      <c r="I362" s="1" t="s">
        <v>68</v>
      </c>
    </row>
    <row r="363" spans="1:9" x14ac:dyDescent="0.45">
      <c r="A363" s="1" t="s">
        <v>23</v>
      </c>
      <c r="B363" s="1" t="s">
        <v>31</v>
      </c>
      <c r="C363" s="1" t="s">
        <v>43</v>
      </c>
      <c r="D363" s="5">
        <v>46029.24</v>
      </c>
      <c r="E363" s="5">
        <v>42929.87</v>
      </c>
      <c r="F363" s="5" t="s">
        <v>66</v>
      </c>
      <c r="G363" s="5">
        <v>3099.3699999999949</v>
      </c>
      <c r="H363" s="5">
        <v>7.2196118926053003</v>
      </c>
      <c r="I363" s="1" t="s">
        <v>67</v>
      </c>
    </row>
    <row r="364" spans="1:9" x14ac:dyDescent="0.45">
      <c r="A364" s="1" t="s">
        <v>21</v>
      </c>
      <c r="B364" s="1" t="s">
        <v>31</v>
      </c>
      <c r="C364" s="1" t="s">
        <v>46</v>
      </c>
      <c r="D364" s="5">
        <v>95366.03</v>
      </c>
      <c r="E364" s="5">
        <v>98426.68</v>
      </c>
      <c r="F364" s="5" t="s">
        <v>66</v>
      </c>
      <c r="G364" s="5">
        <v>-3060.6499999999942</v>
      </c>
      <c r="H364" s="5">
        <v>-3.1095735424581981</v>
      </c>
      <c r="I364" s="1" t="s">
        <v>68</v>
      </c>
    </row>
    <row r="365" spans="1:9" x14ac:dyDescent="0.45">
      <c r="A365" s="1" t="s">
        <v>4</v>
      </c>
      <c r="B365" s="1" t="s">
        <v>31</v>
      </c>
      <c r="C365" s="1" t="s">
        <v>48</v>
      </c>
      <c r="D365" s="5">
        <v>116085.2</v>
      </c>
      <c r="E365" s="5">
        <v>119142.42</v>
      </c>
      <c r="F365" s="5" t="s">
        <v>66</v>
      </c>
      <c r="G365" s="5">
        <v>-3057.2200000000012</v>
      </c>
      <c r="H365" s="5">
        <v>-2.5660214053063561</v>
      </c>
      <c r="I365" s="1" t="s">
        <v>68</v>
      </c>
    </row>
    <row r="366" spans="1:9" x14ac:dyDescent="0.45">
      <c r="A366" s="1" t="s">
        <v>21</v>
      </c>
      <c r="B366" s="1" t="s">
        <v>31</v>
      </c>
      <c r="C366" s="1" t="s">
        <v>43</v>
      </c>
      <c r="D366" s="5">
        <v>37261.040000000001</v>
      </c>
      <c r="E366" s="5">
        <v>34221.370000000003</v>
      </c>
      <c r="F366" s="5" t="s">
        <v>66</v>
      </c>
      <c r="G366" s="5">
        <v>3039.6699999999978</v>
      </c>
      <c r="H366" s="5">
        <v>8.8823737915811023</v>
      </c>
      <c r="I366" s="1" t="s">
        <v>67</v>
      </c>
    </row>
    <row r="367" spans="1:9" x14ac:dyDescent="0.45">
      <c r="A367" s="1" t="s">
        <v>9</v>
      </c>
      <c r="B367" s="1" t="s">
        <v>31</v>
      </c>
      <c r="C367" s="1" t="s">
        <v>39</v>
      </c>
      <c r="D367" s="5">
        <v>17199.34</v>
      </c>
      <c r="E367" s="5">
        <v>20229.330000000002</v>
      </c>
      <c r="F367" s="5" t="s">
        <v>66</v>
      </c>
      <c r="G367" s="5">
        <v>-3029.9900000000021</v>
      </c>
      <c r="H367" s="5">
        <v>-14.97820244170223</v>
      </c>
      <c r="I367" s="1" t="s">
        <v>68</v>
      </c>
    </row>
    <row r="368" spans="1:9" x14ac:dyDescent="0.45">
      <c r="A368" s="1" t="s">
        <v>15</v>
      </c>
      <c r="B368" s="1" t="s">
        <v>27</v>
      </c>
      <c r="C368" s="1" t="s">
        <v>30</v>
      </c>
      <c r="D368" s="5">
        <v>49888.01</v>
      </c>
      <c r="E368" s="5">
        <v>46920.639999999999</v>
      </c>
      <c r="F368" s="5" t="s">
        <v>66</v>
      </c>
      <c r="G368" s="5">
        <v>2967.3700000000031</v>
      </c>
      <c r="H368" s="5">
        <v>6.3242317240344601</v>
      </c>
      <c r="I368" s="1" t="s">
        <v>67</v>
      </c>
    </row>
    <row r="369" spans="1:9" x14ac:dyDescent="0.45">
      <c r="A369" s="1" t="s">
        <v>15</v>
      </c>
      <c r="B369" s="1" t="s">
        <v>27</v>
      </c>
      <c r="C369" s="1" t="s">
        <v>29</v>
      </c>
      <c r="D369" s="5">
        <v>149664.03</v>
      </c>
      <c r="E369" s="5">
        <v>146708.85</v>
      </c>
      <c r="F369" s="5" t="s">
        <v>66</v>
      </c>
      <c r="G369" s="5">
        <v>2955.179999999993</v>
      </c>
      <c r="H369" s="5">
        <v>2.0143161097643349</v>
      </c>
      <c r="I369" s="1" t="s">
        <v>67</v>
      </c>
    </row>
    <row r="370" spans="1:9" x14ac:dyDescent="0.45">
      <c r="A370" s="1" t="s">
        <v>21</v>
      </c>
      <c r="B370" s="1" t="s">
        <v>31</v>
      </c>
      <c r="C370" s="1" t="s">
        <v>38</v>
      </c>
      <c r="D370" s="5">
        <v>127988.33</v>
      </c>
      <c r="E370" s="5">
        <v>130941.78</v>
      </c>
      <c r="F370" s="5" t="s">
        <v>66</v>
      </c>
      <c r="G370" s="5">
        <v>-2953.4499999999971</v>
      </c>
      <c r="H370" s="5">
        <v>-2.2555444106533429</v>
      </c>
      <c r="I370" s="1" t="s">
        <v>68</v>
      </c>
    </row>
    <row r="371" spans="1:9" x14ac:dyDescent="0.45">
      <c r="A371" s="1" t="s">
        <v>4</v>
      </c>
      <c r="B371" s="1" t="s">
        <v>31</v>
      </c>
      <c r="C371" s="1" t="s">
        <v>51</v>
      </c>
      <c r="D371" s="5">
        <v>28519.38</v>
      </c>
      <c r="E371" s="5">
        <v>31399.1</v>
      </c>
      <c r="F371" s="5" t="s">
        <v>66</v>
      </c>
      <c r="G371" s="5">
        <v>-2879.719999999998</v>
      </c>
      <c r="H371" s="5">
        <v>-9.1713456755129847</v>
      </c>
      <c r="I371" s="1" t="s">
        <v>68</v>
      </c>
    </row>
    <row r="372" spans="1:9" x14ac:dyDescent="0.45">
      <c r="A372" s="1" t="s">
        <v>13</v>
      </c>
      <c r="B372" s="1" t="s">
        <v>31</v>
      </c>
      <c r="C372" s="1" t="s">
        <v>38</v>
      </c>
      <c r="D372" s="5">
        <v>129012.9</v>
      </c>
      <c r="E372" s="5">
        <v>131869.87</v>
      </c>
      <c r="F372" s="5" t="s">
        <v>66</v>
      </c>
      <c r="G372" s="5">
        <v>-2856.9700000000012</v>
      </c>
      <c r="H372" s="5">
        <v>-2.166507026965296</v>
      </c>
      <c r="I372" s="1" t="s">
        <v>68</v>
      </c>
    </row>
    <row r="373" spans="1:9" x14ac:dyDescent="0.45">
      <c r="A373" s="1" t="s">
        <v>5</v>
      </c>
      <c r="B373" s="1" t="s">
        <v>31</v>
      </c>
      <c r="C373" s="1" t="s">
        <v>53</v>
      </c>
      <c r="D373" s="5">
        <v>45997.27</v>
      </c>
      <c r="E373" s="5">
        <v>48814.64</v>
      </c>
      <c r="F373" s="5" t="s">
        <v>66</v>
      </c>
      <c r="G373" s="5">
        <v>-2817.3700000000031</v>
      </c>
      <c r="H373" s="5">
        <v>-5.7715677100148692</v>
      </c>
      <c r="I373" s="1" t="s">
        <v>68</v>
      </c>
    </row>
    <row r="374" spans="1:9" x14ac:dyDescent="0.45">
      <c r="A374" s="1" t="s">
        <v>19</v>
      </c>
      <c r="B374" s="1" t="s">
        <v>31</v>
      </c>
      <c r="C374" s="1" t="s">
        <v>44</v>
      </c>
      <c r="D374" s="5">
        <v>111333.67</v>
      </c>
      <c r="E374" s="5">
        <v>108532.37</v>
      </c>
      <c r="F374" s="5" t="s">
        <v>66</v>
      </c>
      <c r="G374" s="5">
        <v>2801.3000000000029</v>
      </c>
      <c r="H374" s="5">
        <v>2.5810732779538519</v>
      </c>
      <c r="I374" s="1" t="s">
        <v>67</v>
      </c>
    </row>
    <row r="375" spans="1:9" x14ac:dyDescent="0.45">
      <c r="A375" s="1" t="s">
        <v>25</v>
      </c>
      <c r="B375" s="1" t="s">
        <v>31</v>
      </c>
      <c r="C375" s="1" t="s">
        <v>40</v>
      </c>
      <c r="D375" s="5">
        <v>24270.97</v>
      </c>
      <c r="E375" s="5">
        <v>21477.17</v>
      </c>
      <c r="F375" s="5" t="s">
        <v>66</v>
      </c>
      <c r="G375" s="5">
        <v>2793.8000000000029</v>
      </c>
      <c r="H375" s="5">
        <v>13.00823153143549</v>
      </c>
      <c r="I375" s="1" t="s">
        <v>67</v>
      </c>
    </row>
    <row r="376" spans="1:9" x14ac:dyDescent="0.45">
      <c r="A376" s="1" t="s">
        <v>25</v>
      </c>
      <c r="B376" s="1" t="s">
        <v>31</v>
      </c>
      <c r="C376" s="1" t="s">
        <v>38</v>
      </c>
      <c r="D376" s="5">
        <v>132605.71</v>
      </c>
      <c r="E376" s="5">
        <v>135376.28</v>
      </c>
      <c r="F376" s="5" t="s">
        <v>66</v>
      </c>
      <c r="G376" s="5">
        <v>-2770.570000000007</v>
      </c>
      <c r="H376" s="5">
        <v>-2.0465697535786971</v>
      </c>
      <c r="I376" s="1" t="s">
        <v>68</v>
      </c>
    </row>
    <row r="377" spans="1:9" x14ac:dyDescent="0.45">
      <c r="A377" s="1" t="s">
        <v>20</v>
      </c>
      <c r="B377" s="1" t="s">
        <v>31</v>
      </c>
      <c r="C377" s="1" t="s">
        <v>51</v>
      </c>
      <c r="D377" s="5">
        <v>30332.48</v>
      </c>
      <c r="E377" s="5">
        <v>33067.19</v>
      </c>
      <c r="F377" s="5" t="s">
        <v>66</v>
      </c>
      <c r="G377" s="5">
        <v>-2734.7100000000032</v>
      </c>
      <c r="H377" s="5">
        <v>-8.2701614500657676</v>
      </c>
      <c r="I377" s="1" t="s">
        <v>68</v>
      </c>
    </row>
    <row r="378" spans="1:9" x14ac:dyDescent="0.45">
      <c r="A378" s="1" t="s">
        <v>24</v>
      </c>
      <c r="B378" s="1" t="s">
        <v>31</v>
      </c>
      <c r="C378" s="1" t="s">
        <v>38</v>
      </c>
      <c r="D378" s="5">
        <v>131560.71</v>
      </c>
      <c r="E378" s="5">
        <v>128834.34</v>
      </c>
      <c r="F378" s="5" t="s">
        <v>66</v>
      </c>
      <c r="G378" s="5">
        <v>2726.3699999999949</v>
      </c>
      <c r="H378" s="5">
        <v>2.1161826885595838</v>
      </c>
      <c r="I378" s="1" t="s">
        <v>67</v>
      </c>
    </row>
    <row r="379" spans="1:9" x14ac:dyDescent="0.45">
      <c r="A379" s="1" t="s">
        <v>5</v>
      </c>
      <c r="B379" s="1" t="s">
        <v>31</v>
      </c>
      <c r="C379" s="1" t="s">
        <v>52</v>
      </c>
      <c r="D379" s="5">
        <v>90859.99</v>
      </c>
      <c r="E379" s="5">
        <v>93578.41</v>
      </c>
      <c r="F379" s="5" t="s">
        <v>66</v>
      </c>
      <c r="G379" s="5">
        <v>-2718.4199999999978</v>
      </c>
      <c r="H379" s="5">
        <v>-2.9049649379595119</v>
      </c>
      <c r="I379" s="1" t="s">
        <v>68</v>
      </c>
    </row>
    <row r="380" spans="1:9" x14ac:dyDescent="0.45">
      <c r="A380" s="1" t="s">
        <v>14</v>
      </c>
      <c r="B380" s="1" t="s">
        <v>31</v>
      </c>
      <c r="C380" s="1" t="s">
        <v>39</v>
      </c>
      <c r="D380" s="5">
        <v>19401.13</v>
      </c>
      <c r="E380" s="5">
        <v>16730.02</v>
      </c>
      <c r="F380" s="5" t="s">
        <v>66</v>
      </c>
      <c r="G380" s="5">
        <v>2671.110000000001</v>
      </c>
      <c r="H380" s="5">
        <v>15.965970154249669</v>
      </c>
      <c r="I380" s="1" t="s">
        <v>67</v>
      </c>
    </row>
    <row r="381" spans="1:9" x14ac:dyDescent="0.45">
      <c r="A381" s="1" t="s">
        <v>21</v>
      </c>
      <c r="B381" s="1" t="s">
        <v>27</v>
      </c>
      <c r="C381" s="1" t="s">
        <v>30</v>
      </c>
      <c r="D381" s="5">
        <v>60893.4</v>
      </c>
      <c r="E381" s="5">
        <v>58266.07</v>
      </c>
      <c r="F381" s="5" t="s">
        <v>66</v>
      </c>
      <c r="G381" s="5">
        <v>2627.3300000000022</v>
      </c>
      <c r="H381" s="5">
        <v>4.5091937726364621</v>
      </c>
      <c r="I381" s="1" t="s">
        <v>67</v>
      </c>
    </row>
    <row r="382" spans="1:9" x14ac:dyDescent="0.45">
      <c r="A382" s="1" t="s">
        <v>4</v>
      </c>
      <c r="B382" s="1" t="s">
        <v>31</v>
      </c>
      <c r="C382" s="1" t="s">
        <v>40</v>
      </c>
      <c r="D382" s="5">
        <v>21712.45</v>
      </c>
      <c r="E382" s="5">
        <v>24318.74</v>
      </c>
      <c r="F382" s="5" t="s">
        <v>66</v>
      </c>
      <c r="G382" s="5">
        <v>-2606.2900000000009</v>
      </c>
      <c r="H382" s="5">
        <v>-10.71720821062276</v>
      </c>
      <c r="I382" s="1" t="s">
        <v>68</v>
      </c>
    </row>
    <row r="383" spans="1:9" x14ac:dyDescent="0.45">
      <c r="A383" s="1" t="s">
        <v>24</v>
      </c>
      <c r="B383" s="1" t="s">
        <v>54</v>
      </c>
      <c r="C383" s="1" t="s">
        <v>58</v>
      </c>
      <c r="D383" s="5">
        <v>238717.45</v>
      </c>
      <c r="E383" s="5">
        <v>236121.77</v>
      </c>
      <c r="F383" s="5" t="s">
        <v>66</v>
      </c>
      <c r="G383" s="5">
        <v>2595.6800000000221</v>
      </c>
      <c r="H383" s="5">
        <v>1.0992971973740591</v>
      </c>
      <c r="I383" s="1" t="s">
        <v>68</v>
      </c>
    </row>
    <row r="384" spans="1:9" x14ac:dyDescent="0.45">
      <c r="A384" s="1" t="s">
        <v>25</v>
      </c>
      <c r="B384" s="1" t="s">
        <v>31</v>
      </c>
      <c r="C384" s="1" t="s">
        <v>48</v>
      </c>
      <c r="D384" s="5">
        <v>123418.46</v>
      </c>
      <c r="E384" s="5">
        <v>120824.23</v>
      </c>
      <c r="F384" s="5" t="s">
        <v>66</v>
      </c>
      <c r="G384" s="5">
        <v>2594.23000000001</v>
      </c>
      <c r="H384" s="5">
        <v>2.1471107243969278</v>
      </c>
      <c r="I384" s="1" t="s">
        <v>67</v>
      </c>
    </row>
    <row r="385" spans="1:9" x14ac:dyDescent="0.45">
      <c r="A385" s="1" t="s">
        <v>7</v>
      </c>
      <c r="B385" s="1" t="s">
        <v>31</v>
      </c>
      <c r="C385" s="1" t="s">
        <v>40</v>
      </c>
      <c r="D385" s="5">
        <v>26189.65</v>
      </c>
      <c r="E385" s="5">
        <v>23639.32</v>
      </c>
      <c r="F385" s="5" t="s">
        <v>66</v>
      </c>
      <c r="G385" s="5">
        <v>2550.3300000000022</v>
      </c>
      <c r="H385" s="5">
        <v>10.788508298885089</v>
      </c>
      <c r="I385" s="1" t="s">
        <v>67</v>
      </c>
    </row>
    <row r="386" spans="1:9" x14ac:dyDescent="0.45">
      <c r="A386" s="1" t="s">
        <v>10</v>
      </c>
      <c r="B386" s="1" t="s">
        <v>31</v>
      </c>
      <c r="C386" s="1" t="s">
        <v>39</v>
      </c>
      <c r="D386" s="5">
        <v>15324.01</v>
      </c>
      <c r="E386" s="5">
        <v>17827.23</v>
      </c>
      <c r="F386" s="5" t="s">
        <v>66</v>
      </c>
      <c r="G386" s="5">
        <v>-2503.2199999999989</v>
      </c>
      <c r="H386" s="5">
        <v>-14.04155328674169</v>
      </c>
      <c r="I386" s="1" t="s">
        <v>68</v>
      </c>
    </row>
    <row r="387" spans="1:9" x14ac:dyDescent="0.45">
      <c r="A387" s="1" t="s">
        <v>22</v>
      </c>
      <c r="B387" s="1" t="s">
        <v>54</v>
      </c>
      <c r="C387" s="1" t="s">
        <v>58</v>
      </c>
      <c r="D387" s="5">
        <v>229447.76</v>
      </c>
      <c r="E387" s="5">
        <v>231950.39</v>
      </c>
      <c r="F387" s="5" t="s">
        <v>66</v>
      </c>
      <c r="G387" s="5">
        <v>-2502.6300000000051</v>
      </c>
      <c r="H387" s="5">
        <v>-1.0789505462784541</v>
      </c>
      <c r="I387" s="1" t="s">
        <v>67</v>
      </c>
    </row>
    <row r="388" spans="1:9" x14ac:dyDescent="0.45">
      <c r="A388" s="1" t="s">
        <v>3</v>
      </c>
      <c r="B388" s="1" t="s">
        <v>31</v>
      </c>
      <c r="C388" s="1" t="s">
        <v>49</v>
      </c>
      <c r="D388" s="5">
        <v>150700.65</v>
      </c>
      <c r="E388" s="5">
        <v>153202.34</v>
      </c>
      <c r="F388" s="5" t="s">
        <v>66</v>
      </c>
      <c r="G388" s="5">
        <v>-2501.6900000000019</v>
      </c>
      <c r="H388" s="5">
        <v>-1.6329319774097459</v>
      </c>
      <c r="I388" s="1" t="s">
        <v>68</v>
      </c>
    </row>
    <row r="389" spans="1:9" x14ac:dyDescent="0.45">
      <c r="A389" s="1" t="s">
        <v>26</v>
      </c>
      <c r="B389" s="1" t="s">
        <v>31</v>
      </c>
      <c r="C389" s="1" t="s">
        <v>53</v>
      </c>
      <c r="D389" s="5">
        <v>43452.78</v>
      </c>
      <c r="E389" s="5">
        <v>45947.37</v>
      </c>
      <c r="F389" s="5" t="s">
        <v>66</v>
      </c>
      <c r="G389" s="5">
        <v>-2494.5900000000038</v>
      </c>
      <c r="H389" s="5">
        <v>-5.4292334904043553</v>
      </c>
      <c r="I389" s="1" t="s">
        <v>68</v>
      </c>
    </row>
    <row r="390" spans="1:9" x14ac:dyDescent="0.45">
      <c r="A390" s="1" t="s">
        <v>24</v>
      </c>
      <c r="B390" s="1" t="s">
        <v>31</v>
      </c>
      <c r="C390" s="1" t="s">
        <v>48</v>
      </c>
      <c r="D390" s="5">
        <v>106142.95</v>
      </c>
      <c r="E390" s="5">
        <v>108571.42</v>
      </c>
      <c r="F390" s="5" t="s">
        <v>66</v>
      </c>
      <c r="G390" s="5">
        <v>-2428.4700000000012</v>
      </c>
      <c r="H390" s="5">
        <v>-2.2367488607959638</v>
      </c>
      <c r="I390" s="1" t="s">
        <v>68</v>
      </c>
    </row>
    <row r="391" spans="1:9" x14ac:dyDescent="0.45">
      <c r="A391" s="1" t="s">
        <v>12</v>
      </c>
      <c r="B391" s="1" t="s">
        <v>31</v>
      </c>
      <c r="C391" s="1" t="s">
        <v>51</v>
      </c>
      <c r="D391" s="5">
        <v>28296.48</v>
      </c>
      <c r="E391" s="5">
        <v>30715.89</v>
      </c>
      <c r="F391" s="5" t="s">
        <v>66</v>
      </c>
      <c r="G391" s="5">
        <v>-2419.41</v>
      </c>
      <c r="H391" s="5">
        <v>-7.8767374150643192</v>
      </c>
      <c r="I391" s="1" t="s">
        <v>68</v>
      </c>
    </row>
    <row r="392" spans="1:9" x14ac:dyDescent="0.45">
      <c r="A392" s="1" t="s">
        <v>11</v>
      </c>
      <c r="B392" s="1" t="s">
        <v>31</v>
      </c>
      <c r="C392" s="1" t="s">
        <v>46</v>
      </c>
      <c r="D392" s="5">
        <v>91947.29</v>
      </c>
      <c r="E392" s="5">
        <v>94349.32</v>
      </c>
      <c r="F392" s="5" t="s">
        <v>66</v>
      </c>
      <c r="G392" s="5">
        <v>-2402.0300000000129</v>
      </c>
      <c r="H392" s="5">
        <v>-2.54589010286456</v>
      </c>
      <c r="I392" s="1" t="s">
        <v>68</v>
      </c>
    </row>
    <row r="393" spans="1:9" x14ac:dyDescent="0.45">
      <c r="A393" s="1" t="s">
        <v>19</v>
      </c>
      <c r="B393" s="1" t="s">
        <v>31</v>
      </c>
      <c r="C393" s="1" t="s">
        <v>46</v>
      </c>
      <c r="D393" s="5">
        <v>65661.11</v>
      </c>
      <c r="E393" s="5">
        <v>63274.18</v>
      </c>
      <c r="F393" s="5" t="s">
        <v>66</v>
      </c>
      <c r="G393" s="5">
        <v>2386.9299999999998</v>
      </c>
      <c r="H393" s="5">
        <v>3.7723602265568679</v>
      </c>
      <c r="I393" s="1" t="s">
        <v>67</v>
      </c>
    </row>
    <row r="394" spans="1:9" x14ac:dyDescent="0.45">
      <c r="A394" s="1" t="s">
        <v>21</v>
      </c>
      <c r="B394" s="1" t="s">
        <v>31</v>
      </c>
      <c r="C394" s="1" t="s">
        <v>36</v>
      </c>
      <c r="D394" s="5">
        <v>5618.36</v>
      </c>
      <c r="E394" s="5">
        <v>7999.81</v>
      </c>
      <c r="F394" s="5" t="s">
        <v>66</v>
      </c>
      <c r="G394" s="5">
        <v>-2381.4500000000012</v>
      </c>
      <c r="H394" s="5">
        <v>-29.768832009760239</v>
      </c>
      <c r="I394" s="1" t="s">
        <v>68</v>
      </c>
    </row>
    <row r="395" spans="1:9" x14ac:dyDescent="0.45">
      <c r="A395" s="1" t="s">
        <v>4</v>
      </c>
      <c r="B395" s="1" t="s">
        <v>27</v>
      </c>
      <c r="C395" s="1" t="s">
        <v>30</v>
      </c>
      <c r="D395" s="5">
        <v>43299.23</v>
      </c>
      <c r="E395" s="5">
        <v>45673.88</v>
      </c>
      <c r="F395" s="5" t="s">
        <v>66</v>
      </c>
      <c r="G395" s="5">
        <v>-2374.6499999999942</v>
      </c>
      <c r="H395" s="5">
        <v>-5.1991422668711182</v>
      </c>
      <c r="I395" s="1" t="s">
        <v>68</v>
      </c>
    </row>
    <row r="396" spans="1:9" x14ac:dyDescent="0.45">
      <c r="A396" s="1" t="s">
        <v>5</v>
      </c>
      <c r="B396" s="1" t="s">
        <v>31</v>
      </c>
      <c r="C396" s="1" t="s">
        <v>43</v>
      </c>
      <c r="D396" s="5">
        <v>32214.74</v>
      </c>
      <c r="E396" s="5">
        <v>34588.230000000003</v>
      </c>
      <c r="F396" s="5" t="s">
        <v>66</v>
      </c>
      <c r="G396" s="5">
        <v>-2373.4900000000021</v>
      </c>
      <c r="H396" s="5">
        <v>-6.8621320027072832</v>
      </c>
      <c r="I396" s="1" t="s">
        <v>68</v>
      </c>
    </row>
    <row r="397" spans="1:9" x14ac:dyDescent="0.45">
      <c r="A397" s="1" t="s">
        <v>14</v>
      </c>
      <c r="B397" s="1" t="s">
        <v>31</v>
      </c>
      <c r="C397" s="1" t="s">
        <v>37</v>
      </c>
      <c r="D397" s="5">
        <v>26830.31</v>
      </c>
      <c r="E397" s="5">
        <v>29176.02</v>
      </c>
      <c r="F397" s="5" t="s">
        <v>66</v>
      </c>
      <c r="G397" s="5">
        <v>-2345.7099999999991</v>
      </c>
      <c r="H397" s="5">
        <v>-8.0398560187441568</v>
      </c>
      <c r="I397" s="1" t="s">
        <v>68</v>
      </c>
    </row>
    <row r="398" spans="1:9" x14ac:dyDescent="0.45">
      <c r="A398" s="1" t="s">
        <v>24</v>
      </c>
      <c r="B398" s="1" t="s">
        <v>31</v>
      </c>
      <c r="C398" s="1" t="s">
        <v>44</v>
      </c>
      <c r="D398" s="5">
        <v>113639.93</v>
      </c>
      <c r="E398" s="5">
        <v>115980.54</v>
      </c>
      <c r="F398" s="5" t="s">
        <v>66</v>
      </c>
      <c r="G398" s="5">
        <v>-2340.610000000001</v>
      </c>
      <c r="H398" s="5">
        <v>-2.018105796024058</v>
      </c>
      <c r="I398" s="1" t="s">
        <v>68</v>
      </c>
    </row>
    <row r="399" spans="1:9" x14ac:dyDescent="0.45">
      <c r="A399" s="1" t="s">
        <v>25</v>
      </c>
      <c r="B399" s="1" t="s">
        <v>54</v>
      </c>
      <c r="C399" s="1" t="s">
        <v>57</v>
      </c>
      <c r="D399" s="5">
        <v>454153.7</v>
      </c>
      <c r="E399" s="5">
        <v>451830.01</v>
      </c>
      <c r="F399" s="5" t="s">
        <v>66</v>
      </c>
      <c r="G399" s="5">
        <v>2323.6900000000019</v>
      </c>
      <c r="H399" s="5">
        <v>0.51428412203076157</v>
      </c>
      <c r="I399" s="1" t="s">
        <v>68</v>
      </c>
    </row>
    <row r="400" spans="1:9" x14ac:dyDescent="0.45">
      <c r="A400" s="1" t="s">
        <v>19</v>
      </c>
      <c r="B400" s="1" t="s">
        <v>31</v>
      </c>
      <c r="C400" s="1" t="s">
        <v>38</v>
      </c>
      <c r="D400" s="5">
        <v>130448.45</v>
      </c>
      <c r="E400" s="5">
        <v>132758.32999999999</v>
      </c>
      <c r="F400" s="5" t="s">
        <v>66</v>
      </c>
      <c r="G400" s="5">
        <v>-2309.8799999999901</v>
      </c>
      <c r="H400" s="5">
        <v>-1.7399134201221049</v>
      </c>
      <c r="I400" s="1" t="s">
        <v>68</v>
      </c>
    </row>
    <row r="401" spans="1:9" x14ac:dyDescent="0.45">
      <c r="A401" s="1" t="s">
        <v>13</v>
      </c>
      <c r="B401" s="1" t="s">
        <v>31</v>
      </c>
      <c r="C401" s="1" t="s">
        <v>37</v>
      </c>
      <c r="D401" s="5">
        <v>31339.18</v>
      </c>
      <c r="E401" s="5">
        <v>29059.49</v>
      </c>
      <c r="F401" s="5" t="s">
        <v>66</v>
      </c>
      <c r="G401" s="5">
        <v>2279.6899999999991</v>
      </c>
      <c r="H401" s="5">
        <v>7.8449071198427731</v>
      </c>
      <c r="I401" s="1" t="s">
        <v>67</v>
      </c>
    </row>
    <row r="402" spans="1:9" x14ac:dyDescent="0.45">
      <c r="A402" s="1" t="s">
        <v>24</v>
      </c>
      <c r="B402" s="1" t="s">
        <v>31</v>
      </c>
      <c r="C402" s="1" t="s">
        <v>39</v>
      </c>
      <c r="D402" s="5">
        <v>14190.08</v>
      </c>
      <c r="E402" s="5">
        <v>16466.310000000001</v>
      </c>
      <c r="F402" s="5" t="s">
        <v>66</v>
      </c>
      <c r="G402" s="5">
        <v>-2276.2300000000009</v>
      </c>
      <c r="H402" s="5">
        <v>-13.82355852647011</v>
      </c>
      <c r="I402" s="1" t="s">
        <v>68</v>
      </c>
    </row>
    <row r="403" spans="1:9" x14ac:dyDescent="0.45">
      <c r="A403" s="1" t="s">
        <v>26</v>
      </c>
      <c r="B403" s="1" t="s">
        <v>31</v>
      </c>
      <c r="C403" s="1" t="s">
        <v>33</v>
      </c>
      <c r="D403" s="5">
        <v>24587.119999999999</v>
      </c>
      <c r="E403" s="5">
        <v>26858.09</v>
      </c>
      <c r="F403" s="5" t="s">
        <v>66</v>
      </c>
      <c r="G403" s="5">
        <v>-2270.9700000000012</v>
      </c>
      <c r="H403" s="5">
        <v>-8.4554411724735488</v>
      </c>
      <c r="I403" s="1" t="s">
        <v>68</v>
      </c>
    </row>
    <row r="404" spans="1:9" x14ac:dyDescent="0.45">
      <c r="A404" s="1" t="s">
        <v>20</v>
      </c>
      <c r="B404" s="1" t="s">
        <v>31</v>
      </c>
      <c r="C404" s="1" t="s">
        <v>39</v>
      </c>
      <c r="D404" s="5">
        <v>14845.35</v>
      </c>
      <c r="E404" s="5">
        <v>17115.86</v>
      </c>
      <c r="F404" s="5" t="s">
        <v>66</v>
      </c>
      <c r="G404" s="5">
        <v>-2270.5100000000002</v>
      </c>
      <c r="H404" s="5">
        <v>-13.265532669699329</v>
      </c>
      <c r="I404" s="1" t="s">
        <v>68</v>
      </c>
    </row>
    <row r="405" spans="1:9" x14ac:dyDescent="0.45">
      <c r="A405" s="1" t="s">
        <v>24</v>
      </c>
      <c r="B405" s="1" t="s">
        <v>31</v>
      </c>
      <c r="C405" s="1" t="s">
        <v>33</v>
      </c>
      <c r="D405" s="5">
        <v>24199.439999999999</v>
      </c>
      <c r="E405" s="5">
        <v>26462.46</v>
      </c>
      <c r="F405" s="5" t="s">
        <v>66</v>
      </c>
      <c r="G405" s="5">
        <v>-2263.02</v>
      </c>
      <c r="H405" s="5">
        <v>-8.5518126432689954</v>
      </c>
      <c r="I405" s="1" t="s">
        <v>68</v>
      </c>
    </row>
    <row r="406" spans="1:9" x14ac:dyDescent="0.45">
      <c r="A406" s="1" t="s">
        <v>22</v>
      </c>
      <c r="B406" s="1" t="s">
        <v>31</v>
      </c>
      <c r="C406" s="1" t="s">
        <v>52</v>
      </c>
      <c r="D406" s="5">
        <v>97111.82</v>
      </c>
      <c r="E406" s="5">
        <v>94857.29</v>
      </c>
      <c r="F406" s="5" t="s">
        <v>66</v>
      </c>
      <c r="G406" s="5">
        <v>2254.5300000000129</v>
      </c>
      <c r="H406" s="5">
        <v>2.376759867375521</v>
      </c>
      <c r="I406" s="1" t="s">
        <v>67</v>
      </c>
    </row>
    <row r="407" spans="1:9" x14ac:dyDescent="0.45">
      <c r="A407" s="1" t="s">
        <v>25</v>
      </c>
      <c r="B407" s="1" t="s">
        <v>27</v>
      </c>
      <c r="C407" s="1" t="s">
        <v>30</v>
      </c>
      <c r="D407" s="5">
        <v>71921.48</v>
      </c>
      <c r="E407" s="5">
        <v>69689.899999999994</v>
      </c>
      <c r="F407" s="5" t="s">
        <v>66</v>
      </c>
      <c r="G407" s="5">
        <v>2231.5800000000022</v>
      </c>
      <c r="H407" s="5">
        <v>3.2021569840105979</v>
      </c>
      <c r="I407" s="1" t="s">
        <v>67</v>
      </c>
    </row>
    <row r="408" spans="1:9" x14ac:dyDescent="0.45">
      <c r="A408" s="1" t="s">
        <v>20</v>
      </c>
      <c r="B408" s="1" t="s">
        <v>54</v>
      </c>
      <c r="C408" s="1" t="s">
        <v>55</v>
      </c>
      <c r="D408" s="5">
        <v>50123.78</v>
      </c>
      <c r="E408" s="5">
        <v>52346.91</v>
      </c>
      <c r="F408" s="5" t="s">
        <v>66</v>
      </c>
      <c r="G408" s="5">
        <v>-2223.1300000000051</v>
      </c>
      <c r="H408" s="5">
        <v>-4.246917344309348</v>
      </c>
      <c r="I408" s="1" t="s">
        <v>67</v>
      </c>
    </row>
    <row r="409" spans="1:9" x14ac:dyDescent="0.45">
      <c r="A409" s="1" t="s">
        <v>4</v>
      </c>
      <c r="B409" s="1" t="s">
        <v>31</v>
      </c>
      <c r="C409" s="1" t="s">
        <v>33</v>
      </c>
      <c r="D409" s="5">
        <v>22287.29</v>
      </c>
      <c r="E409" s="5">
        <v>24477.9</v>
      </c>
      <c r="F409" s="5" t="s">
        <v>66</v>
      </c>
      <c r="G409" s="5">
        <v>-2190.610000000001</v>
      </c>
      <c r="H409" s="5">
        <v>-8.9493379742543286</v>
      </c>
      <c r="I409" s="1" t="s">
        <v>68</v>
      </c>
    </row>
    <row r="410" spans="1:9" x14ac:dyDescent="0.45">
      <c r="A410" s="1" t="s">
        <v>7</v>
      </c>
      <c r="B410" s="1" t="s">
        <v>31</v>
      </c>
      <c r="C410" s="1" t="s">
        <v>41</v>
      </c>
      <c r="D410" s="5">
        <v>13317.8</v>
      </c>
      <c r="E410" s="5">
        <v>11132.55</v>
      </c>
      <c r="F410" s="5" t="s">
        <v>66</v>
      </c>
      <c r="G410" s="5">
        <v>2185.25</v>
      </c>
      <c r="H410" s="5">
        <v>19.629375120704601</v>
      </c>
      <c r="I410" s="1" t="s">
        <v>67</v>
      </c>
    </row>
    <row r="411" spans="1:9" x14ac:dyDescent="0.45">
      <c r="A411" s="1" t="s">
        <v>10</v>
      </c>
      <c r="B411" s="1" t="s">
        <v>31</v>
      </c>
      <c r="C411" s="1" t="s">
        <v>35</v>
      </c>
      <c r="D411" s="5">
        <v>46269.87</v>
      </c>
      <c r="E411" s="5">
        <v>48431.67</v>
      </c>
      <c r="F411" s="5" t="s">
        <v>66</v>
      </c>
      <c r="G411" s="5">
        <v>-2161.7999999999961</v>
      </c>
      <c r="H411" s="5">
        <v>-4.4636082133859842</v>
      </c>
      <c r="I411" s="1" t="s">
        <v>68</v>
      </c>
    </row>
    <row r="412" spans="1:9" x14ac:dyDescent="0.45">
      <c r="A412" s="1" t="s">
        <v>3</v>
      </c>
      <c r="B412" s="1" t="s">
        <v>31</v>
      </c>
      <c r="C412" s="1" t="s">
        <v>48</v>
      </c>
      <c r="D412" s="5">
        <v>117579.96</v>
      </c>
      <c r="E412" s="5">
        <v>115429.46</v>
      </c>
      <c r="F412" s="5" t="s">
        <v>66</v>
      </c>
      <c r="G412" s="5">
        <v>2150.5</v>
      </c>
      <c r="H412" s="5">
        <v>1.863042588954327</v>
      </c>
      <c r="I412" s="1" t="s">
        <v>67</v>
      </c>
    </row>
    <row r="413" spans="1:9" x14ac:dyDescent="0.45">
      <c r="A413" s="1" t="s">
        <v>19</v>
      </c>
      <c r="B413" s="1" t="s">
        <v>31</v>
      </c>
      <c r="C413" s="1" t="s">
        <v>33</v>
      </c>
      <c r="D413" s="5">
        <v>23582.34</v>
      </c>
      <c r="E413" s="5">
        <v>25655.71</v>
      </c>
      <c r="F413" s="5" t="s">
        <v>66</v>
      </c>
      <c r="G413" s="5">
        <v>-2073.369999999999</v>
      </c>
      <c r="H413" s="5">
        <v>-8.0815147972907351</v>
      </c>
      <c r="I413" s="1" t="s">
        <v>68</v>
      </c>
    </row>
    <row r="414" spans="1:9" x14ac:dyDescent="0.45">
      <c r="A414" s="1" t="s">
        <v>10</v>
      </c>
      <c r="B414" s="1" t="s">
        <v>31</v>
      </c>
      <c r="C414" s="1" t="s">
        <v>33</v>
      </c>
      <c r="D414" s="5">
        <v>22747.200000000001</v>
      </c>
      <c r="E414" s="5">
        <v>24799.59</v>
      </c>
      <c r="F414" s="5" t="s">
        <v>66</v>
      </c>
      <c r="G414" s="5">
        <v>-2052.389999999999</v>
      </c>
      <c r="H414" s="5">
        <v>-8.2759029483955153</v>
      </c>
      <c r="I414" s="1" t="s">
        <v>68</v>
      </c>
    </row>
    <row r="415" spans="1:9" x14ac:dyDescent="0.45">
      <c r="A415" s="1" t="s">
        <v>20</v>
      </c>
      <c r="B415" s="1" t="s">
        <v>31</v>
      </c>
      <c r="C415" s="1" t="s">
        <v>43</v>
      </c>
      <c r="D415" s="5">
        <v>35531.18</v>
      </c>
      <c r="E415" s="5">
        <v>37583</v>
      </c>
      <c r="F415" s="5" t="s">
        <v>66</v>
      </c>
      <c r="G415" s="5">
        <v>-2051.8200000000002</v>
      </c>
      <c r="H415" s="5">
        <v>-5.4594364473299084</v>
      </c>
      <c r="I415" s="1" t="s">
        <v>68</v>
      </c>
    </row>
    <row r="416" spans="1:9" x14ac:dyDescent="0.45">
      <c r="A416" s="1" t="s">
        <v>15</v>
      </c>
      <c r="B416" s="1" t="s">
        <v>31</v>
      </c>
      <c r="C416" s="1" t="s">
        <v>37</v>
      </c>
      <c r="D416" s="5">
        <v>28325.55</v>
      </c>
      <c r="E416" s="5">
        <v>26273.91</v>
      </c>
      <c r="F416" s="5" t="s">
        <v>66</v>
      </c>
      <c r="G416" s="5">
        <v>2051.639999999999</v>
      </c>
      <c r="H416" s="5">
        <v>7.8086588558764172</v>
      </c>
      <c r="I416" s="1" t="s">
        <v>67</v>
      </c>
    </row>
    <row r="417" spans="1:9" x14ac:dyDescent="0.45">
      <c r="A417" s="1" t="s">
        <v>26</v>
      </c>
      <c r="B417" s="1" t="s">
        <v>31</v>
      </c>
      <c r="C417" s="1" t="s">
        <v>47</v>
      </c>
      <c r="D417" s="5">
        <v>93838.01</v>
      </c>
      <c r="E417" s="5">
        <v>95886.19</v>
      </c>
      <c r="F417" s="5" t="s">
        <v>66</v>
      </c>
      <c r="G417" s="5">
        <v>-2048.180000000008</v>
      </c>
      <c r="H417" s="5">
        <v>-2.1360531688661402</v>
      </c>
      <c r="I417" s="1" t="s">
        <v>68</v>
      </c>
    </row>
    <row r="418" spans="1:9" x14ac:dyDescent="0.45">
      <c r="A418" s="1" t="s">
        <v>7</v>
      </c>
      <c r="B418" s="1" t="s">
        <v>31</v>
      </c>
      <c r="C418" s="1" t="s">
        <v>34</v>
      </c>
      <c r="D418" s="5">
        <v>12314.4</v>
      </c>
      <c r="E418" s="5">
        <v>14355.68</v>
      </c>
      <c r="F418" s="5" t="s">
        <v>66</v>
      </c>
      <c r="G418" s="5">
        <v>-2041.2800000000011</v>
      </c>
      <c r="H418" s="5">
        <v>-14.219319461007769</v>
      </c>
      <c r="I418" s="1" t="s">
        <v>68</v>
      </c>
    </row>
    <row r="419" spans="1:9" x14ac:dyDescent="0.45">
      <c r="A419" s="1" t="s">
        <v>21</v>
      </c>
      <c r="B419" s="1" t="s">
        <v>31</v>
      </c>
      <c r="C419" s="1" t="s">
        <v>33</v>
      </c>
      <c r="D419" s="5">
        <v>23877.1</v>
      </c>
      <c r="E419" s="5">
        <v>25915.3</v>
      </c>
      <c r="F419" s="5" t="s">
        <v>66</v>
      </c>
      <c r="G419" s="5">
        <v>-2038.200000000001</v>
      </c>
      <c r="H419" s="5">
        <v>-7.8648520372135406</v>
      </c>
      <c r="I419" s="1" t="s">
        <v>68</v>
      </c>
    </row>
    <row r="420" spans="1:9" x14ac:dyDescent="0.45">
      <c r="A420" s="1" t="s">
        <v>8</v>
      </c>
      <c r="B420" s="1" t="s">
        <v>31</v>
      </c>
      <c r="C420" s="1" t="s">
        <v>53</v>
      </c>
      <c r="D420" s="5">
        <v>36940.769999999997</v>
      </c>
      <c r="E420" s="5">
        <v>38975.9</v>
      </c>
      <c r="F420" s="5" t="s">
        <v>66</v>
      </c>
      <c r="G420" s="5">
        <v>-2035.1300000000051</v>
      </c>
      <c r="H420" s="5">
        <v>-5.2215086758740776</v>
      </c>
      <c r="I420" s="1" t="s">
        <v>68</v>
      </c>
    </row>
    <row r="421" spans="1:9" x14ac:dyDescent="0.45">
      <c r="A421" s="1" t="s">
        <v>14</v>
      </c>
      <c r="B421" s="1" t="s">
        <v>31</v>
      </c>
      <c r="C421" s="1" t="s">
        <v>35</v>
      </c>
      <c r="D421" s="5">
        <v>47301.41</v>
      </c>
      <c r="E421" s="5">
        <v>49328.800000000003</v>
      </c>
      <c r="F421" s="5" t="s">
        <v>66</v>
      </c>
      <c r="G421" s="5">
        <v>-2027.389999999999</v>
      </c>
      <c r="H421" s="5">
        <v>-4.1099519955887818</v>
      </c>
      <c r="I421" s="1" t="s">
        <v>68</v>
      </c>
    </row>
    <row r="422" spans="1:9" x14ac:dyDescent="0.45">
      <c r="A422" s="1" t="s">
        <v>15</v>
      </c>
      <c r="B422" s="1" t="s">
        <v>31</v>
      </c>
      <c r="C422" s="1" t="s">
        <v>40</v>
      </c>
      <c r="D422" s="5">
        <v>25571.84</v>
      </c>
      <c r="E422" s="5">
        <v>23545.55</v>
      </c>
      <c r="F422" s="5" t="s">
        <v>66</v>
      </c>
      <c r="G422" s="5">
        <v>2026.2900000000011</v>
      </c>
      <c r="H422" s="5">
        <v>8.6058299763649657</v>
      </c>
      <c r="I422" s="1" t="s">
        <v>67</v>
      </c>
    </row>
    <row r="423" spans="1:9" x14ac:dyDescent="0.45">
      <c r="A423" s="1" t="s">
        <v>7</v>
      </c>
      <c r="B423" s="1" t="s">
        <v>54</v>
      </c>
      <c r="C423" s="1" t="s">
        <v>55</v>
      </c>
      <c r="D423" s="5">
        <v>48280.09</v>
      </c>
      <c r="E423" s="5">
        <v>50291.46</v>
      </c>
      <c r="F423" s="5" t="s">
        <v>66</v>
      </c>
      <c r="G423" s="5">
        <v>-2011.3700000000031</v>
      </c>
      <c r="H423" s="5">
        <v>-3.9994265427967339</v>
      </c>
      <c r="I423" s="1" t="s">
        <v>67</v>
      </c>
    </row>
    <row r="424" spans="1:9" x14ac:dyDescent="0.45">
      <c r="A424" s="1" t="s">
        <v>17</v>
      </c>
      <c r="B424" s="1" t="s">
        <v>27</v>
      </c>
      <c r="C424" s="1" t="s">
        <v>30</v>
      </c>
      <c r="D424" s="5">
        <v>55501.98</v>
      </c>
      <c r="E424" s="5">
        <v>53538.16</v>
      </c>
      <c r="F424" s="5" t="s">
        <v>66</v>
      </c>
      <c r="G424" s="5">
        <v>1963.82</v>
      </c>
      <c r="H424" s="5">
        <v>3.6680752569755839</v>
      </c>
      <c r="I424" s="1" t="s">
        <v>67</v>
      </c>
    </row>
    <row r="425" spans="1:9" x14ac:dyDescent="0.45">
      <c r="A425" s="1" t="s">
        <v>14</v>
      </c>
      <c r="B425" s="1" t="s">
        <v>54</v>
      </c>
      <c r="C425" s="1" t="s">
        <v>55</v>
      </c>
      <c r="D425" s="5">
        <v>52349.55</v>
      </c>
      <c r="E425" s="5">
        <v>54284.1</v>
      </c>
      <c r="F425" s="5" t="s">
        <v>66</v>
      </c>
      <c r="G425" s="5">
        <v>-1934.5499999999961</v>
      </c>
      <c r="H425" s="5">
        <v>-3.563750711534309</v>
      </c>
      <c r="I425" s="1" t="s">
        <v>67</v>
      </c>
    </row>
    <row r="426" spans="1:9" x14ac:dyDescent="0.45">
      <c r="A426" s="1" t="s">
        <v>17</v>
      </c>
      <c r="B426" s="1" t="s">
        <v>54</v>
      </c>
      <c r="C426" s="1" t="s">
        <v>58</v>
      </c>
      <c r="D426" s="5">
        <v>207817.91</v>
      </c>
      <c r="E426" s="5">
        <v>205936.91</v>
      </c>
      <c r="F426" s="5" t="s">
        <v>66</v>
      </c>
      <c r="G426" s="5">
        <v>1881</v>
      </c>
      <c r="H426" s="5">
        <v>0.91338653182666474</v>
      </c>
      <c r="I426" s="1" t="s">
        <v>68</v>
      </c>
    </row>
    <row r="427" spans="1:9" x14ac:dyDescent="0.45">
      <c r="A427" s="1" t="s">
        <v>21</v>
      </c>
      <c r="B427" s="1" t="s">
        <v>31</v>
      </c>
      <c r="C427" s="1" t="s">
        <v>52</v>
      </c>
      <c r="D427" s="5">
        <v>99827.32</v>
      </c>
      <c r="E427" s="5">
        <v>98009.41</v>
      </c>
      <c r="F427" s="5" t="s">
        <v>66</v>
      </c>
      <c r="G427" s="5">
        <v>1817.910000000003</v>
      </c>
      <c r="H427" s="5">
        <v>1.854832102346095</v>
      </c>
      <c r="I427" s="1" t="s">
        <v>67</v>
      </c>
    </row>
    <row r="428" spans="1:9" x14ac:dyDescent="0.45">
      <c r="A428" s="1" t="s">
        <v>16</v>
      </c>
      <c r="B428" s="1" t="s">
        <v>31</v>
      </c>
      <c r="C428" s="1" t="s">
        <v>51</v>
      </c>
      <c r="D428" s="5">
        <v>32369.759999999998</v>
      </c>
      <c r="E428" s="5">
        <v>30558.43</v>
      </c>
      <c r="F428" s="5" t="s">
        <v>66</v>
      </c>
      <c r="G428" s="5">
        <v>1811.3299999999981</v>
      </c>
      <c r="H428" s="5">
        <v>5.9274314812639197</v>
      </c>
      <c r="I428" s="1" t="s">
        <v>67</v>
      </c>
    </row>
    <row r="429" spans="1:9" x14ac:dyDescent="0.45">
      <c r="A429" s="1" t="s">
        <v>25</v>
      </c>
      <c r="B429" s="1" t="s">
        <v>31</v>
      </c>
      <c r="C429" s="1" t="s">
        <v>43</v>
      </c>
      <c r="D429" s="5">
        <v>43576.03</v>
      </c>
      <c r="E429" s="5">
        <v>45369.95</v>
      </c>
      <c r="F429" s="5" t="s">
        <v>66</v>
      </c>
      <c r="G429" s="5">
        <v>-1793.919999999998</v>
      </c>
      <c r="H429" s="5">
        <v>-3.9539827573096251</v>
      </c>
      <c r="I429" s="1" t="s">
        <v>68</v>
      </c>
    </row>
    <row r="430" spans="1:9" x14ac:dyDescent="0.45">
      <c r="A430" s="1" t="s">
        <v>13</v>
      </c>
      <c r="B430" s="1" t="s">
        <v>31</v>
      </c>
      <c r="C430" s="1" t="s">
        <v>33</v>
      </c>
      <c r="D430" s="5">
        <v>23302.52</v>
      </c>
      <c r="E430" s="5">
        <v>25094</v>
      </c>
      <c r="F430" s="5" t="s">
        <v>66</v>
      </c>
      <c r="G430" s="5">
        <v>-1791.48</v>
      </c>
      <c r="H430" s="5">
        <v>-7.1390770702159863</v>
      </c>
      <c r="I430" s="1" t="s">
        <v>68</v>
      </c>
    </row>
    <row r="431" spans="1:9" x14ac:dyDescent="0.45">
      <c r="A431" s="1" t="s">
        <v>16</v>
      </c>
      <c r="B431" s="1" t="s">
        <v>31</v>
      </c>
      <c r="C431" s="1" t="s">
        <v>47</v>
      </c>
      <c r="D431" s="5">
        <v>98064.78</v>
      </c>
      <c r="E431" s="5">
        <v>96276.11</v>
      </c>
      <c r="F431" s="5" t="s">
        <v>66</v>
      </c>
      <c r="G431" s="5">
        <v>1788.669999999998</v>
      </c>
      <c r="H431" s="5">
        <v>1.8578544563132</v>
      </c>
      <c r="I431" s="1" t="s">
        <v>67</v>
      </c>
    </row>
    <row r="432" spans="1:9" x14ac:dyDescent="0.45">
      <c r="A432" s="1" t="s">
        <v>23</v>
      </c>
      <c r="B432" s="1" t="s">
        <v>31</v>
      </c>
      <c r="C432" s="1" t="s">
        <v>37</v>
      </c>
      <c r="D432" s="5">
        <v>30961.599999999999</v>
      </c>
      <c r="E432" s="5">
        <v>32743.24</v>
      </c>
      <c r="F432" s="5" t="s">
        <v>66</v>
      </c>
      <c r="G432" s="5">
        <v>-1781.6400000000031</v>
      </c>
      <c r="H432" s="5">
        <v>-5.4412452768876962</v>
      </c>
      <c r="I432" s="1" t="s">
        <v>68</v>
      </c>
    </row>
    <row r="433" spans="1:9" x14ac:dyDescent="0.45">
      <c r="A433" s="1" t="s">
        <v>10</v>
      </c>
      <c r="B433" s="1" t="s">
        <v>31</v>
      </c>
      <c r="C433" s="1" t="s">
        <v>41</v>
      </c>
      <c r="D433" s="5">
        <v>8364.2099999999991</v>
      </c>
      <c r="E433" s="5">
        <v>10122.39</v>
      </c>
      <c r="F433" s="5" t="s">
        <v>66</v>
      </c>
      <c r="G433" s="5">
        <v>-1758.18</v>
      </c>
      <c r="H433" s="5">
        <v>-17.369218139194398</v>
      </c>
      <c r="I433" s="1" t="s">
        <v>68</v>
      </c>
    </row>
    <row r="434" spans="1:9" x14ac:dyDescent="0.45">
      <c r="A434" s="1" t="s">
        <v>14</v>
      </c>
      <c r="B434" s="1" t="s">
        <v>31</v>
      </c>
      <c r="C434" s="1" t="s">
        <v>41</v>
      </c>
      <c r="D434" s="5">
        <v>7978.47</v>
      </c>
      <c r="E434" s="5">
        <v>9728.56</v>
      </c>
      <c r="F434" s="5" t="s">
        <v>66</v>
      </c>
      <c r="G434" s="5">
        <v>-1750.089999999999</v>
      </c>
      <c r="H434" s="5">
        <v>-17.98919881256835</v>
      </c>
      <c r="I434" s="1" t="s">
        <v>68</v>
      </c>
    </row>
    <row r="435" spans="1:9" x14ac:dyDescent="0.45">
      <c r="A435" s="1" t="s">
        <v>6</v>
      </c>
      <c r="B435" s="1" t="s">
        <v>31</v>
      </c>
      <c r="C435" s="1" t="s">
        <v>33</v>
      </c>
      <c r="D435" s="5">
        <v>22389.439999999999</v>
      </c>
      <c r="E435" s="5">
        <v>24138.720000000001</v>
      </c>
      <c r="F435" s="5" t="s">
        <v>66</v>
      </c>
      <c r="G435" s="5">
        <v>-1749.280000000002</v>
      </c>
      <c r="H435" s="5">
        <v>-7.2467802766675389</v>
      </c>
      <c r="I435" s="1" t="s">
        <v>68</v>
      </c>
    </row>
    <row r="436" spans="1:9" x14ac:dyDescent="0.45">
      <c r="A436" s="1" t="s">
        <v>18</v>
      </c>
      <c r="B436" s="1" t="s">
        <v>31</v>
      </c>
      <c r="C436" s="1" t="s">
        <v>40</v>
      </c>
      <c r="D436" s="5">
        <v>21670.78</v>
      </c>
      <c r="E436" s="5">
        <v>19921.580000000002</v>
      </c>
      <c r="F436" s="5" t="s">
        <v>66</v>
      </c>
      <c r="G436" s="5">
        <v>1749.1999999999971</v>
      </c>
      <c r="H436" s="5">
        <v>8.7804280584170371</v>
      </c>
      <c r="I436" s="1" t="s">
        <v>67</v>
      </c>
    </row>
    <row r="437" spans="1:9" x14ac:dyDescent="0.45">
      <c r="A437" s="1" t="s">
        <v>18</v>
      </c>
      <c r="B437" s="1" t="s">
        <v>31</v>
      </c>
      <c r="C437" s="1" t="s">
        <v>37</v>
      </c>
      <c r="D437" s="5">
        <v>21808.17</v>
      </c>
      <c r="E437" s="5">
        <v>23557.14</v>
      </c>
      <c r="F437" s="5" t="s">
        <v>66</v>
      </c>
      <c r="G437" s="5">
        <v>-1748.9700000000009</v>
      </c>
      <c r="H437" s="5">
        <v>-7.4243732473466686</v>
      </c>
      <c r="I437" s="1" t="s">
        <v>68</v>
      </c>
    </row>
    <row r="438" spans="1:9" x14ac:dyDescent="0.45">
      <c r="A438" s="1" t="s">
        <v>4</v>
      </c>
      <c r="B438" s="1" t="s">
        <v>31</v>
      </c>
      <c r="C438" s="1" t="s">
        <v>39</v>
      </c>
      <c r="D438" s="5">
        <v>17366.810000000001</v>
      </c>
      <c r="E438" s="5">
        <v>15617.95</v>
      </c>
      <c r="F438" s="5" t="s">
        <v>66</v>
      </c>
      <c r="G438" s="5">
        <v>1748.860000000001</v>
      </c>
      <c r="H438" s="5">
        <v>11.197756427700179</v>
      </c>
      <c r="I438" s="1" t="s">
        <v>67</v>
      </c>
    </row>
    <row r="439" spans="1:9" x14ac:dyDescent="0.45">
      <c r="A439" s="1" t="s">
        <v>18</v>
      </c>
      <c r="B439" s="1" t="s">
        <v>31</v>
      </c>
      <c r="C439" s="1" t="s">
        <v>53</v>
      </c>
      <c r="D439" s="5">
        <v>41367.54</v>
      </c>
      <c r="E439" s="5">
        <v>39653.72</v>
      </c>
      <c r="F439" s="5" t="s">
        <v>66</v>
      </c>
      <c r="G439" s="5">
        <v>1713.82</v>
      </c>
      <c r="H439" s="5">
        <v>4.3219652531969253</v>
      </c>
      <c r="I439" s="1" t="s">
        <v>67</v>
      </c>
    </row>
    <row r="440" spans="1:9" x14ac:dyDescent="0.45">
      <c r="A440" s="1" t="s">
        <v>6</v>
      </c>
      <c r="B440" s="1" t="s">
        <v>31</v>
      </c>
      <c r="C440" s="1" t="s">
        <v>41</v>
      </c>
      <c r="D440" s="5">
        <v>14765.48</v>
      </c>
      <c r="E440" s="5">
        <v>13052.45</v>
      </c>
      <c r="F440" s="5" t="s">
        <v>66</v>
      </c>
      <c r="G440" s="5">
        <v>1713.0299999999991</v>
      </c>
      <c r="H440" s="5">
        <v>13.12420273588482</v>
      </c>
      <c r="I440" s="1" t="s">
        <v>67</v>
      </c>
    </row>
    <row r="441" spans="1:9" x14ac:dyDescent="0.45">
      <c r="A441" s="1" t="s">
        <v>3</v>
      </c>
      <c r="B441" s="1" t="s">
        <v>31</v>
      </c>
      <c r="C441" s="1" t="s">
        <v>43</v>
      </c>
      <c r="D441" s="5">
        <v>38797.78</v>
      </c>
      <c r="E441" s="5">
        <v>40493.279999999999</v>
      </c>
      <c r="F441" s="5" t="s">
        <v>66</v>
      </c>
      <c r="G441" s="5">
        <v>-1695.5</v>
      </c>
      <c r="H441" s="5">
        <v>-4.1871145039374431</v>
      </c>
      <c r="I441" s="1" t="s">
        <v>68</v>
      </c>
    </row>
    <row r="442" spans="1:9" x14ac:dyDescent="0.45">
      <c r="A442" s="1" t="s">
        <v>16</v>
      </c>
      <c r="B442" s="1" t="s">
        <v>31</v>
      </c>
      <c r="C442" s="1" t="s">
        <v>35</v>
      </c>
      <c r="D442" s="5">
        <v>47614.22</v>
      </c>
      <c r="E442" s="5">
        <v>49306.92</v>
      </c>
      <c r="F442" s="5" t="s">
        <v>66</v>
      </c>
      <c r="G442" s="5">
        <v>-1692.6999999999971</v>
      </c>
      <c r="H442" s="5">
        <v>-3.4329866882782318</v>
      </c>
      <c r="I442" s="1" t="s">
        <v>68</v>
      </c>
    </row>
    <row r="443" spans="1:9" x14ac:dyDescent="0.45">
      <c r="A443" s="1" t="s">
        <v>18</v>
      </c>
      <c r="B443" s="1" t="s">
        <v>31</v>
      </c>
      <c r="C443" s="1" t="s">
        <v>33</v>
      </c>
      <c r="D443" s="5">
        <v>23687.439999999999</v>
      </c>
      <c r="E443" s="5">
        <v>25371</v>
      </c>
      <c r="F443" s="5" t="s">
        <v>66</v>
      </c>
      <c r="G443" s="5">
        <v>-1683.5600000000011</v>
      </c>
      <c r="H443" s="5">
        <v>-6.6357652437822772</v>
      </c>
      <c r="I443" s="1" t="s">
        <v>68</v>
      </c>
    </row>
    <row r="444" spans="1:9" x14ac:dyDescent="0.45">
      <c r="A444" s="1" t="s">
        <v>22</v>
      </c>
      <c r="B444" s="1" t="s">
        <v>31</v>
      </c>
      <c r="C444" s="1" t="s">
        <v>34</v>
      </c>
      <c r="D444" s="5">
        <v>13023.64</v>
      </c>
      <c r="E444" s="5">
        <v>14692.86</v>
      </c>
      <c r="F444" s="5" t="s">
        <v>66</v>
      </c>
      <c r="G444" s="5">
        <v>-1669.2200000000009</v>
      </c>
      <c r="H444" s="5">
        <v>-11.3607561768097</v>
      </c>
      <c r="I444" s="1" t="s">
        <v>68</v>
      </c>
    </row>
    <row r="445" spans="1:9" x14ac:dyDescent="0.45">
      <c r="A445" s="1" t="s">
        <v>20</v>
      </c>
      <c r="B445" s="1" t="s">
        <v>31</v>
      </c>
      <c r="C445" s="1" t="s">
        <v>44</v>
      </c>
      <c r="D445" s="5">
        <v>120101.33</v>
      </c>
      <c r="E445" s="5">
        <v>121752.93</v>
      </c>
      <c r="F445" s="5" t="s">
        <v>66</v>
      </c>
      <c r="G445" s="5">
        <v>-1651.599999999991</v>
      </c>
      <c r="H445" s="5">
        <v>-1.3565176624496771</v>
      </c>
      <c r="I445" s="1" t="s">
        <v>68</v>
      </c>
    </row>
    <row r="446" spans="1:9" x14ac:dyDescent="0.45">
      <c r="A446" s="1" t="s">
        <v>20</v>
      </c>
      <c r="B446" s="1" t="s">
        <v>31</v>
      </c>
      <c r="C446" s="1" t="s">
        <v>38</v>
      </c>
      <c r="D446" s="5">
        <v>127766.21</v>
      </c>
      <c r="E446" s="5">
        <v>129383.8</v>
      </c>
      <c r="F446" s="5" t="s">
        <v>66</v>
      </c>
      <c r="G446" s="5">
        <v>-1617.589999999997</v>
      </c>
      <c r="H446" s="5">
        <v>-1.250226071579283</v>
      </c>
      <c r="I446" s="1" t="s">
        <v>68</v>
      </c>
    </row>
    <row r="447" spans="1:9" x14ac:dyDescent="0.45">
      <c r="A447" s="1" t="s">
        <v>9</v>
      </c>
      <c r="B447" s="1" t="s">
        <v>31</v>
      </c>
      <c r="C447" s="1" t="s">
        <v>53</v>
      </c>
      <c r="D447" s="5">
        <v>45194.65</v>
      </c>
      <c r="E447" s="5">
        <v>43583.3</v>
      </c>
      <c r="F447" s="5" t="s">
        <v>66</v>
      </c>
      <c r="G447" s="5">
        <v>1611.349999999999</v>
      </c>
      <c r="H447" s="5">
        <v>3.6971729997499012</v>
      </c>
      <c r="I447" s="1" t="s">
        <v>67</v>
      </c>
    </row>
    <row r="448" spans="1:9" x14ac:dyDescent="0.45">
      <c r="A448" s="1" t="s">
        <v>20</v>
      </c>
      <c r="B448" s="1" t="s">
        <v>31</v>
      </c>
      <c r="C448" s="1" t="s">
        <v>49</v>
      </c>
      <c r="D448" s="5">
        <v>161465.14000000001</v>
      </c>
      <c r="E448" s="5">
        <v>163065.18</v>
      </c>
      <c r="F448" s="5" t="s">
        <v>66</v>
      </c>
      <c r="G448" s="5">
        <v>-1600.039999999979</v>
      </c>
      <c r="H448" s="5">
        <v>-0.98122726139325334</v>
      </c>
      <c r="I448" s="1" t="s">
        <v>68</v>
      </c>
    </row>
    <row r="449" spans="1:9" x14ac:dyDescent="0.45">
      <c r="A449" s="1" t="s">
        <v>4</v>
      </c>
      <c r="B449" s="1" t="s">
        <v>54</v>
      </c>
      <c r="C449" s="1" t="s">
        <v>55</v>
      </c>
      <c r="D449" s="5">
        <v>52253.57</v>
      </c>
      <c r="E449" s="5">
        <v>50654.49</v>
      </c>
      <c r="F449" s="5" t="s">
        <v>66</v>
      </c>
      <c r="G449" s="5">
        <v>1599.080000000002</v>
      </c>
      <c r="H449" s="5">
        <v>3.156837626832294</v>
      </c>
      <c r="I449" s="1" t="s">
        <v>68</v>
      </c>
    </row>
    <row r="450" spans="1:9" x14ac:dyDescent="0.45">
      <c r="A450" s="1" t="s">
        <v>19</v>
      </c>
      <c r="B450" s="1" t="s">
        <v>31</v>
      </c>
      <c r="C450" s="1" t="s">
        <v>35</v>
      </c>
      <c r="D450" s="5">
        <v>48926.33</v>
      </c>
      <c r="E450" s="5">
        <v>50508.17</v>
      </c>
      <c r="F450" s="5" t="s">
        <v>66</v>
      </c>
      <c r="G450" s="5">
        <v>-1581.839999999997</v>
      </c>
      <c r="H450" s="5">
        <v>-3.1318497581678302</v>
      </c>
      <c r="I450" s="1" t="s">
        <v>68</v>
      </c>
    </row>
    <row r="451" spans="1:9" x14ac:dyDescent="0.45">
      <c r="A451" s="1" t="s">
        <v>26</v>
      </c>
      <c r="B451" s="1" t="s">
        <v>31</v>
      </c>
      <c r="C451" s="1" t="s">
        <v>37</v>
      </c>
      <c r="D451" s="5">
        <v>24031.73</v>
      </c>
      <c r="E451" s="5">
        <v>25608.84</v>
      </c>
      <c r="F451" s="5" t="s">
        <v>66</v>
      </c>
      <c r="G451" s="5">
        <v>-1577.110000000001</v>
      </c>
      <c r="H451" s="5">
        <v>-6.1584593445076017</v>
      </c>
      <c r="I451" s="1" t="s">
        <v>68</v>
      </c>
    </row>
    <row r="452" spans="1:9" x14ac:dyDescent="0.45">
      <c r="A452" s="1" t="s">
        <v>22</v>
      </c>
      <c r="B452" s="1" t="s">
        <v>31</v>
      </c>
      <c r="C452" s="1" t="s">
        <v>33</v>
      </c>
      <c r="D452" s="5">
        <v>24212.89</v>
      </c>
      <c r="E452" s="5">
        <v>25784.880000000001</v>
      </c>
      <c r="F452" s="5" t="s">
        <v>66</v>
      </c>
      <c r="G452" s="5">
        <v>-1571.9900000000021</v>
      </c>
      <c r="H452" s="5">
        <v>-6.0965573622991522</v>
      </c>
      <c r="I452" s="1" t="s">
        <v>68</v>
      </c>
    </row>
    <row r="453" spans="1:9" x14ac:dyDescent="0.45">
      <c r="A453" s="1" t="s">
        <v>18</v>
      </c>
      <c r="B453" s="1" t="s">
        <v>54</v>
      </c>
      <c r="C453" s="1" t="s">
        <v>58</v>
      </c>
      <c r="D453" s="5">
        <v>211974.26</v>
      </c>
      <c r="E453" s="5">
        <v>210402.62</v>
      </c>
      <c r="F453" s="5" t="s">
        <v>66</v>
      </c>
      <c r="G453" s="5">
        <v>1571.640000000014</v>
      </c>
      <c r="H453" s="5">
        <v>0.74696788471551068</v>
      </c>
      <c r="I453" s="1" t="s">
        <v>68</v>
      </c>
    </row>
    <row r="454" spans="1:9" x14ac:dyDescent="0.45">
      <c r="A454" s="1" t="s">
        <v>26</v>
      </c>
      <c r="B454" s="1" t="s">
        <v>31</v>
      </c>
      <c r="C454" s="1" t="s">
        <v>51</v>
      </c>
      <c r="D454" s="5">
        <v>36504.639999999999</v>
      </c>
      <c r="E454" s="5">
        <v>34961.93</v>
      </c>
      <c r="F454" s="5" t="s">
        <v>66</v>
      </c>
      <c r="G454" s="5">
        <v>1542.7099999999989</v>
      </c>
      <c r="H454" s="5">
        <v>4.4125424425939848</v>
      </c>
      <c r="I454" s="1" t="s">
        <v>67</v>
      </c>
    </row>
    <row r="455" spans="1:9" x14ac:dyDescent="0.45">
      <c r="A455" s="1" t="s">
        <v>6</v>
      </c>
      <c r="B455" s="1" t="s">
        <v>31</v>
      </c>
      <c r="C455" s="1" t="s">
        <v>37</v>
      </c>
      <c r="D455" s="5">
        <v>23650.55</v>
      </c>
      <c r="E455" s="5">
        <v>25169.21</v>
      </c>
      <c r="F455" s="5" t="s">
        <v>66</v>
      </c>
      <c r="G455" s="5">
        <v>-1518.66</v>
      </c>
      <c r="H455" s="5">
        <v>-6.0338008225129034</v>
      </c>
      <c r="I455" s="1" t="s">
        <v>68</v>
      </c>
    </row>
    <row r="456" spans="1:9" x14ac:dyDescent="0.45">
      <c r="A456" s="1" t="s">
        <v>10</v>
      </c>
      <c r="B456" s="1" t="s">
        <v>31</v>
      </c>
      <c r="C456" s="1" t="s">
        <v>40</v>
      </c>
      <c r="D456" s="5">
        <v>15710.16</v>
      </c>
      <c r="E456" s="5">
        <v>17228.259999999998</v>
      </c>
      <c r="F456" s="5" t="s">
        <v>66</v>
      </c>
      <c r="G456" s="5">
        <v>-1518.099999999999</v>
      </c>
      <c r="H456" s="5">
        <v>-8.8116849873405592</v>
      </c>
      <c r="I456" s="1" t="s">
        <v>68</v>
      </c>
    </row>
    <row r="457" spans="1:9" x14ac:dyDescent="0.45">
      <c r="A457" s="1" t="s">
        <v>17</v>
      </c>
      <c r="B457" s="1" t="s">
        <v>31</v>
      </c>
      <c r="C457" s="1" t="s">
        <v>38</v>
      </c>
      <c r="D457" s="5">
        <v>129441.29</v>
      </c>
      <c r="E457" s="5">
        <v>130931.22</v>
      </c>
      <c r="F457" s="5" t="s">
        <v>66</v>
      </c>
      <c r="G457" s="5">
        <v>-1489.930000000008</v>
      </c>
      <c r="H457" s="5">
        <v>-1.13794861149236</v>
      </c>
      <c r="I457" s="1" t="s">
        <v>68</v>
      </c>
    </row>
    <row r="458" spans="1:9" x14ac:dyDescent="0.45">
      <c r="A458" s="1" t="s">
        <v>7</v>
      </c>
      <c r="B458" s="1" t="s">
        <v>31</v>
      </c>
      <c r="C458" s="1" t="s">
        <v>52</v>
      </c>
      <c r="D458" s="5">
        <v>93173.63</v>
      </c>
      <c r="E458" s="5">
        <v>94658.77</v>
      </c>
      <c r="F458" s="5" t="s">
        <v>66</v>
      </c>
      <c r="G458" s="5">
        <v>-1485.139999999999</v>
      </c>
      <c r="H458" s="5">
        <v>-1.568940733119603</v>
      </c>
      <c r="I458" s="1" t="s">
        <v>68</v>
      </c>
    </row>
    <row r="459" spans="1:9" x14ac:dyDescent="0.45">
      <c r="A459" s="1" t="s">
        <v>25</v>
      </c>
      <c r="B459" s="1" t="s">
        <v>31</v>
      </c>
      <c r="C459" s="1" t="s">
        <v>39</v>
      </c>
      <c r="D459" s="5">
        <v>13335.34</v>
      </c>
      <c r="E459" s="5">
        <v>14800.52</v>
      </c>
      <c r="F459" s="5" t="s">
        <v>66</v>
      </c>
      <c r="G459" s="5">
        <v>-1465.18</v>
      </c>
      <c r="H459" s="5">
        <v>-9.8995170439957541</v>
      </c>
      <c r="I459" s="1" t="s">
        <v>68</v>
      </c>
    </row>
    <row r="460" spans="1:9" x14ac:dyDescent="0.45">
      <c r="A460" s="1" t="s">
        <v>19</v>
      </c>
      <c r="B460" s="1" t="s">
        <v>54</v>
      </c>
      <c r="C460" s="1" t="s">
        <v>58</v>
      </c>
      <c r="D460" s="5">
        <v>216213.75</v>
      </c>
      <c r="E460" s="5">
        <v>214766.44</v>
      </c>
      <c r="F460" s="5" t="s">
        <v>66</v>
      </c>
      <c r="G460" s="5">
        <v>1447.3099999999979</v>
      </c>
      <c r="H460" s="5">
        <v>0.67389951614414134</v>
      </c>
      <c r="I460" s="1" t="s">
        <v>68</v>
      </c>
    </row>
    <row r="461" spans="1:9" x14ac:dyDescent="0.45">
      <c r="A461" s="1" t="s">
        <v>13</v>
      </c>
      <c r="B461" s="1" t="s">
        <v>31</v>
      </c>
      <c r="C461" s="1" t="s">
        <v>39</v>
      </c>
      <c r="D461" s="5">
        <v>16220.23</v>
      </c>
      <c r="E461" s="5">
        <v>14792.33</v>
      </c>
      <c r="F461" s="5" t="s">
        <v>66</v>
      </c>
      <c r="G461" s="5">
        <v>1427.9</v>
      </c>
      <c r="H461" s="5">
        <v>9.6529755623353442</v>
      </c>
      <c r="I461" s="1" t="s">
        <v>67</v>
      </c>
    </row>
    <row r="462" spans="1:9" x14ac:dyDescent="0.45">
      <c r="A462" s="1" t="s">
        <v>23</v>
      </c>
      <c r="B462" s="1" t="s">
        <v>31</v>
      </c>
      <c r="C462" s="1" t="s">
        <v>41</v>
      </c>
      <c r="D462" s="5">
        <v>7962.72</v>
      </c>
      <c r="E462" s="5">
        <v>9390.02</v>
      </c>
      <c r="F462" s="5" t="s">
        <v>66</v>
      </c>
      <c r="G462" s="5">
        <v>-1427.3</v>
      </c>
      <c r="H462" s="5">
        <v>-15.200180617293681</v>
      </c>
      <c r="I462" s="1" t="s">
        <v>68</v>
      </c>
    </row>
    <row r="463" spans="1:9" x14ac:dyDescent="0.45">
      <c r="A463" s="1" t="s">
        <v>23</v>
      </c>
      <c r="B463" s="1" t="s">
        <v>31</v>
      </c>
      <c r="C463" s="1" t="s">
        <v>33</v>
      </c>
      <c r="D463" s="5">
        <v>24277.24</v>
      </c>
      <c r="E463" s="5">
        <v>25693.66</v>
      </c>
      <c r="F463" s="5" t="s">
        <v>66</v>
      </c>
      <c r="G463" s="5">
        <v>-1416.419999999998</v>
      </c>
      <c r="H463" s="5">
        <v>-5.5127218154206066</v>
      </c>
      <c r="I463" s="1" t="s">
        <v>68</v>
      </c>
    </row>
    <row r="464" spans="1:9" x14ac:dyDescent="0.45">
      <c r="A464" s="1" t="s">
        <v>22</v>
      </c>
      <c r="B464" s="1" t="s">
        <v>31</v>
      </c>
      <c r="C464" s="1" t="s">
        <v>35</v>
      </c>
      <c r="D464" s="5">
        <v>49453.48</v>
      </c>
      <c r="E464" s="5">
        <v>48038.6</v>
      </c>
      <c r="F464" s="5" t="s">
        <v>66</v>
      </c>
      <c r="G464" s="5">
        <v>1414.8800000000051</v>
      </c>
      <c r="H464" s="5">
        <v>2.9452981560661731</v>
      </c>
      <c r="I464" s="1" t="s">
        <v>67</v>
      </c>
    </row>
    <row r="465" spans="1:9" x14ac:dyDescent="0.45">
      <c r="A465" s="1" t="s">
        <v>26</v>
      </c>
      <c r="B465" s="1" t="s">
        <v>31</v>
      </c>
      <c r="C465" s="1" t="s">
        <v>34</v>
      </c>
      <c r="D465" s="5">
        <v>13335.52</v>
      </c>
      <c r="E465" s="5">
        <v>14735.26</v>
      </c>
      <c r="F465" s="5" t="s">
        <v>66</v>
      </c>
      <c r="G465" s="5">
        <v>-1399.74</v>
      </c>
      <c r="H465" s="5">
        <v>-9.4992555272183843</v>
      </c>
      <c r="I465" s="1" t="s">
        <v>68</v>
      </c>
    </row>
    <row r="466" spans="1:9" x14ac:dyDescent="0.45">
      <c r="A466" s="1" t="s">
        <v>18</v>
      </c>
      <c r="B466" s="1" t="s">
        <v>31</v>
      </c>
      <c r="C466" s="1" t="s">
        <v>51</v>
      </c>
      <c r="D466" s="5">
        <v>32038.12</v>
      </c>
      <c r="E466" s="5">
        <v>33430.49</v>
      </c>
      <c r="F466" s="5" t="s">
        <v>66</v>
      </c>
      <c r="G466" s="5">
        <v>-1392.369999999999</v>
      </c>
      <c r="H466" s="5">
        <v>-4.1649703608891144</v>
      </c>
      <c r="I466" s="1" t="s">
        <v>68</v>
      </c>
    </row>
    <row r="467" spans="1:9" x14ac:dyDescent="0.45">
      <c r="A467" s="1" t="s">
        <v>17</v>
      </c>
      <c r="B467" s="1" t="s">
        <v>31</v>
      </c>
      <c r="C467" s="1" t="s">
        <v>43</v>
      </c>
      <c r="D467" s="5">
        <v>35165.46</v>
      </c>
      <c r="E467" s="5">
        <v>33773.480000000003</v>
      </c>
      <c r="F467" s="5" t="s">
        <v>66</v>
      </c>
      <c r="G467" s="5">
        <v>1391.9799999999959</v>
      </c>
      <c r="H467" s="5">
        <v>4.1215178299659847</v>
      </c>
      <c r="I467" s="1" t="s">
        <v>67</v>
      </c>
    </row>
    <row r="468" spans="1:9" x14ac:dyDescent="0.45">
      <c r="A468" s="1" t="s">
        <v>8</v>
      </c>
      <c r="B468" s="1" t="s">
        <v>31</v>
      </c>
      <c r="C468" s="1" t="s">
        <v>33</v>
      </c>
      <c r="D468" s="5">
        <v>22490.29</v>
      </c>
      <c r="E468" s="5">
        <v>23871.759999999998</v>
      </c>
      <c r="F468" s="5" t="s">
        <v>66</v>
      </c>
      <c r="G468" s="5">
        <v>-1381.469999999998</v>
      </c>
      <c r="H468" s="5">
        <v>-5.7870471217874071</v>
      </c>
      <c r="I468" s="1" t="s">
        <v>68</v>
      </c>
    </row>
    <row r="469" spans="1:9" x14ac:dyDescent="0.45">
      <c r="A469" s="1" t="s">
        <v>17</v>
      </c>
      <c r="B469" s="1" t="s">
        <v>54</v>
      </c>
      <c r="C469" s="1" t="s">
        <v>57</v>
      </c>
      <c r="D469" s="5">
        <v>383248.87</v>
      </c>
      <c r="E469" s="5">
        <v>384629.55</v>
      </c>
      <c r="F469" s="5" t="s">
        <v>66</v>
      </c>
      <c r="G469" s="5">
        <v>-1380.679999999993</v>
      </c>
      <c r="H469" s="5">
        <v>-0.35896357937137002</v>
      </c>
      <c r="I469" s="1" t="s">
        <v>67</v>
      </c>
    </row>
    <row r="470" spans="1:9" x14ac:dyDescent="0.45">
      <c r="A470" s="1" t="s">
        <v>25</v>
      </c>
      <c r="B470" s="1" t="s">
        <v>31</v>
      </c>
      <c r="C470" s="1" t="s">
        <v>51</v>
      </c>
      <c r="D470" s="5">
        <v>31556.27</v>
      </c>
      <c r="E470" s="5">
        <v>32914.68</v>
      </c>
      <c r="F470" s="5" t="s">
        <v>66</v>
      </c>
      <c r="G470" s="5">
        <v>-1358.41</v>
      </c>
      <c r="H470" s="5">
        <v>-4.1270642764869647</v>
      </c>
      <c r="I470" s="1" t="s">
        <v>68</v>
      </c>
    </row>
    <row r="471" spans="1:9" x14ac:dyDescent="0.45">
      <c r="A471" s="1" t="s">
        <v>22</v>
      </c>
      <c r="B471" s="1" t="s">
        <v>31</v>
      </c>
      <c r="C471" s="1" t="s">
        <v>40</v>
      </c>
      <c r="D471" s="5">
        <v>18364.7</v>
      </c>
      <c r="E471" s="5">
        <v>17008.09</v>
      </c>
      <c r="F471" s="5" t="s">
        <v>66</v>
      </c>
      <c r="G471" s="5">
        <v>1356.610000000001</v>
      </c>
      <c r="H471" s="5">
        <v>7.9762630606964144</v>
      </c>
      <c r="I471" s="1" t="s">
        <v>67</v>
      </c>
    </row>
    <row r="472" spans="1:9" x14ac:dyDescent="0.45">
      <c r="A472" s="1" t="s">
        <v>25</v>
      </c>
      <c r="B472" s="1" t="s">
        <v>31</v>
      </c>
      <c r="C472" s="1" t="s">
        <v>35</v>
      </c>
      <c r="D472" s="5">
        <v>49680.07</v>
      </c>
      <c r="E472" s="5">
        <v>51017.599999999999</v>
      </c>
      <c r="F472" s="5" t="s">
        <v>66</v>
      </c>
      <c r="G472" s="5">
        <v>-1337.5299999999991</v>
      </c>
      <c r="H472" s="5">
        <v>-2.621703098538541</v>
      </c>
      <c r="I472" s="1" t="s">
        <v>68</v>
      </c>
    </row>
    <row r="473" spans="1:9" x14ac:dyDescent="0.45">
      <c r="A473" s="1" t="s">
        <v>4</v>
      </c>
      <c r="B473" s="1" t="s">
        <v>31</v>
      </c>
      <c r="C473" s="1" t="s">
        <v>34</v>
      </c>
      <c r="D473" s="5">
        <v>11835.92</v>
      </c>
      <c r="E473" s="5">
        <v>13167.53</v>
      </c>
      <c r="F473" s="5" t="s">
        <v>66</v>
      </c>
      <c r="G473" s="5">
        <v>-1331.610000000001</v>
      </c>
      <c r="H473" s="5">
        <v>-10.1128305764255</v>
      </c>
      <c r="I473" s="1" t="s">
        <v>68</v>
      </c>
    </row>
    <row r="474" spans="1:9" x14ac:dyDescent="0.45">
      <c r="A474" s="1" t="s">
        <v>3</v>
      </c>
      <c r="B474" s="1" t="s">
        <v>31</v>
      </c>
      <c r="C474" s="1" t="s">
        <v>41</v>
      </c>
      <c r="D474" s="5">
        <v>7821.88</v>
      </c>
      <c r="E474" s="5">
        <v>9142.98</v>
      </c>
      <c r="F474" s="5" t="s">
        <v>66</v>
      </c>
      <c r="G474" s="5">
        <v>-1321.099999999999</v>
      </c>
      <c r="H474" s="5">
        <v>-14.449337087032889</v>
      </c>
      <c r="I474" s="1" t="s">
        <v>68</v>
      </c>
    </row>
    <row r="475" spans="1:9" x14ac:dyDescent="0.45">
      <c r="A475" s="1" t="s">
        <v>23</v>
      </c>
      <c r="B475" s="1" t="s">
        <v>31</v>
      </c>
      <c r="C475" s="1" t="s">
        <v>34</v>
      </c>
      <c r="D475" s="5">
        <v>13321.97</v>
      </c>
      <c r="E475" s="5">
        <v>14624.29</v>
      </c>
      <c r="F475" s="5" t="s">
        <v>66</v>
      </c>
      <c r="G475" s="5">
        <v>-1302.320000000002</v>
      </c>
      <c r="H475" s="5">
        <v>-8.905184456818084</v>
      </c>
      <c r="I475" s="1" t="s">
        <v>68</v>
      </c>
    </row>
    <row r="476" spans="1:9" x14ac:dyDescent="0.45">
      <c r="A476" s="1" t="s">
        <v>25</v>
      </c>
      <c r="B476" s="1" t="s">
        <v>31</v>
      </c>
      <c r="C476" s="1" t="s">
        <v>53</v>
      </c>
      <c r="D476" s="5">
        <v>47347.74</v>
      </c>
      <c r="E476" s="5">
        <v>46045.52</v>
      </c>
      <c r="F476" s="5" t="s">
        <v>66</v>
      </c>
      <c r="G476" s="5">
        <v>1302.2200000000009</v>
      </c>
      <c r="H476" s="5">
        <v>2.8281144397978371</v>
      </c>
      <c r="I476" s="1" t="s">
        <v>67</v>
      </c>
    </row>
    <row r="477" spans="1:9" x14ac:dyDescent="0.45">
      <c r="A477" s="1" t="s">
        <v>15</v>
      </c>
      <c r="B477" s="1" t="s">
        <v>31</v>
      </c>
      <c r="C477" s="1" t="s">
        <v>39</v>
      </c>
      <c r="D477" s="5">
        <v>15663.41</v>
      </c>
      <c r="E477" s="5">
        <v>16960.04</v>
      </c>
      <c r="F477" s="5" t="s">
        <v>66</v>
      </c>
      <c r="G477" s="5">
        <v>-1296.630000000001</v>
      </c>
      <c r="H477" s="5">
        <v>-7.6452060254574929</v>
      </c>
      <c r="I477" s="1" t="s">
        <v>68</v>
      </c>
    </row>
    <row r="478" spans="1:9" x14ac:dyDescent="0.45">
      <c r="A478" s="1" t="s">
        <v>24</v>
      </c>
      <c r="B478" s="1" t="s">
        <v>31</v>
      </c>
      <c r="C478" s="1" t="s">
        <v>34</v>
      </c>
      <c r="D478" s="5">
        <v>13234.94</v>
      </c>
      <c r="E478" s="5">
        <v>14518.26</v>
      </c>
      <c r="F478" s="5" t="s">
        <v>66</v>
      </c>
      <c r="G478" s="5">
        <v>-1283.32</v>
      </c>
      <c r="H478" s="5">
        <v>-8.8393512721221388</v>
      </c>
      <c r="I478" s="1" t="s">
        <v>68</v>
      </c>
    </row>
    <row r="479" spans="1:9" x14ac:dyDescent="0.45">
      <c r="A479" s="1" t="s">
        <v>17</v>
      </c>
      <c r="B479" s="1" t="s">
        <v>31</v>
      </c>
      <c r="C479" s="1" t="s">
        <v>33</v>
      </c>
      <c r="D479" s="5">
        <v>23342.01</v>
      </c>
      <c r="E479" s="5">
        <v>24602.19</v>
      </c>
      <c r="F479" s="5" t="s">
        <v>66</v>
      </c>
      <c r="G479" s="5">
        <v>-1260.18</v>
      </c>
      <c r="H479" s="5">
        <v>-5.1222269237006968</v>
      </c>
      <c r="I479" s="1" t="s">
        <v>68</v>
      </c>
    </row>
    <row r="480" spans="1:9" x14ac:dyDescent="0.45">
      <c r="A480" s="1" t="s">
        <v>19</v>
      </c>
      <c r="B480" s="1" t="s">
        <v>54</v>
      </c>
      <c r="C480" s="1" t="s">
        <v>55</v>
      </c>
      <c r="D480" s="5">
        <v>49021.21</v>
      </c>
      <c r="E480" s="5">
        <v>50279.55</v>
      </c>
      <c r="F480" s="5" t="s">
        <v>66</v>
      </c>
      <c r="G480" s="5">
        <v>-1258.340000000004</v>
      </c>
      <c r="H480" s="5">
        <v>-2.5026874743310228</v>
      </c>
      <c r="I480" s="1" t="s">
        <v>67</v>
      </c>
    </row>
    <row r="481" spans="1:9" x14ac:dyDescent="0.45">
      <c r="A481" s="1" t="s">
        <v>5</v>
      </c>
      <c r="B481" s="1" t="s">
        <v>31</v>
      </c>
      <c r="C481" s="1" t="s">
        <v>41</v>
      </c>
      <c r="D481" s="5">
        <v>7464.47</v>
      </c>
      <c r="E481" s="5">
        <v>8719.2900000000009</v>
      </c>
      <c r="F481" s="5" t="s">
        <v>66</v>
      </c>
      <c r="G481" s="5">
        <v>-1254.8200000000011</v>
      </c>
      <c r="H481" s="5">
        <v>-14.39130938413564</v>
      </c>
      <c r="I481" s="1" t="s">
        <v>68</v>
      </c>
    </row>
    <row r="482" spans="1:9" x14ac:dyDescent="0.45">
      <c r="A482" s="1" t="s">
        <v>11</v>
      </c>
      <c r="B482" s="1" t="s">
        <v>31</v>
      </c>
      <c r="C482" s="1" t="s">
        <v>36</v>
      </c>
      <c r="D482" s="5">
        <v>4969.78</v>
      </c>
      <c r="E482" s="5">
        <v>6209.52</v>
      </c>
      <c r="F482" s="5" t="s">
        <v>66</v>
      </c>
      <c r="G482" s="5">
        <v>-1239.7400000000009</v>
      </c>
      <c r="H482" s="5">
        <v>-19.965150285368281</v>
      </c>
      <c r="I482" s="1" t="s">
        <v>68</v>
      </c>
    </row>
    <row r="483" spans="1:9" x14ac:dyDescent="0.45">
      <c r="A483" s="1" t="s">
        <v>4</v>
      </c>
      <c r="B483" s="1" t="s">
        <v>31</v>
      </c>
      <c r="C483" s="1" t="s">
        <v>36</v>
      </c>
      <c r="D483" s="5">
        <v>4071.77</v>
      </c>
      <c r="E483" s="5">
        <v>5307.4</v>
      </c>
      <c r="F483" s="5" t="s">
        <v>66</v>
      </c>
      <c r="G483" s="5">
        <v>-1235.6300000000001</v>
      </c>
      <c r="H483" s="5">
        <v>-23.28126766401628</v>
      </c>
      <c r="I483" s="1" t="s">
        <v>68</v>
      </c>
    </row>
    <row r="484" spans="1:9" x14ac:dyDescent="0.45">
      <c r="A484" s="1" t="s">
        <v>9</v>
      </c>
      <c r="B484" s="1" t="s">
        <v>31</v>
      </c>
      <c r="C484" s="1" t="s">
        <v>36</v>
      </c>
      <c r="D484" s="5">
        <v>9204.83</v>
      </c>
      <c r="E484" s="5">
        <v>7991.54</v>
      </c>
      <c r="F484" s="5" t="s">
        <v>66</v>
      </c>
      <c r="G484" s="5">
        <v>1213.29</v>
      </c>
      <c r="H484" s="5">
        <v>15.182180155514461</v>
      </c>
      <c r="I484" s="1" t="s">
        <v>67</v>
      </c>
    </row>
    <row r="485" spans="1:9" x14ac:dyDescent="0.45">
      <c r="A485" s="1" t="s">
        <v>12</v>
      </c>
      <c r="B485" s="1" t="s">
        <v>31</v>
      </c>
      <c r="C485" s="1" t="s">
        <v>43</v>
      </c>
      <c r="D485" s="5">
        <v>43180.06</v>
      </c>
      <c r="E485" s="5">
        <v>44352.82</v>
      </c>
      <c r="F485" s="5" t="s">
        <v>66</v>
      </c>
      <c r="G485" s="5">
        <v>-1172.760000000002</v>
      </c>
      <c r="H485" s="5">
        <v>-2.6441610702543881</v>
      </c>
      <c r="I485" s="1" t="s">
        <v>68</v>
      </c>
    </row>
    <row r="486" spans="1:9" x14ac:dyDescent="0.45">
      <c r="A486" s="1" t="s">
        <v>5</v>
      </c>
      <c r="B486" s="1" t="s">
        <v>31</v>
      </c>
      <c r="C486" s="1" t="s">
        <v>34</v>
      </c>
      <c r="D486" s="5">
        <v>12127.11</v>
      </c>
      <c r="E486" s="5">
        <v>13297.43</v>
      </c>
      <c r="F486" s="5" t="s">
        <v>66</v>
      </c>
      <c r="G486" s="5">
        <v>-1170.32</v>
      </c>
      <c r="H486" s="5">
        <v>-8.8010991597624475</v>
      </c>
      <c r="I486" s="1" t="s">
        <v>68</v>
      </c>
    </row>
    <row r="487" spans="1:9" x14ac:dyDescent="0.45">
      <c r="A487" s="1" t="s">
        <v>17</v>
      </c>
      <c r="B487" s="1" t="s">
        <v>31</v>
      </c>
      <c r="C487" s="1" t="s">
        <v>49</v>
      </c>
      <c r="D487" s="5">
        <v>162069.29999999999</v>
      </c>
      <c r="E487" s="5">
        <v>160904.66</v>
      </c>
      <c r="F487" s="5" t="s">
        <v>66</v>
      </c>
      <c r="G487" s="5">
        <v>1164.6399999999851</v>
      </c>
      <c r="H487" s="5">
        <v>0.72380750190826348</v>
      </c>
      <c r="I487" s="1" t="s">
        <v>67</v>
      </c>
    </row>
    <row r="488" spans="1:9" x14ac:dyDescent="0.45">
      <c r="A488" s="1" t="s">
        <v>19</v>
      </c>
      <c r="B488" s="1" t="s">
        <v>31</v>
      </c>
      <c r="C488" s="1" t="s">
        <v>34</v>
      </c>
      <c r="D488" s="5">
        <v>12936.54</v>
      </c>
      <c r="E488" s="5">
        <v>14070.79</v>
      </c>
      <c r="F488" s="5" t="s">
        <v>66</v>
      </c>
      <c r="G488" s="5">
        <v>-1134.25</v>
      </c>
      <c r="H488" s="5">
        <v>-8.0610257135526862</v>
      </c>
      <c r="I488" s="1" t="s">
        <v>68</v>
      </c>
    </row>
    <row r="489" spans="1:9" x14ac:dyDescent="0.45">
      <c r="A489" s="1" t="s">
        <v>17</v>
      </c>
      <c r="B489" s="1" t="s">
        <v>31</v>
      </c>
      <c r="C489" s="1" t="s">
        <v>36</v>
      </c>
      <c r="D489" s="5">
        <v>4836.41</v>
      </c>
      <c r="E489" s="5">
        <v>5961.89</v>
      </c>
      <c r="F489" s="5" t="s">
        <v>66</v>
      </c>
      <c r="G489" s="5">
        <v>-1125.48</v>
      </c>
      <c r="H489" s="5">
        <v>-18.87790616733956</v>
      </c>
      <c r="I489" s="1" t="s">
        <v>68</v>
      </c>
    </row>
    <row r="490" spans="1:9" x14ac:dyDescent="0.45">
      <c r="A490" s="1" t="s">
        <v>26</v>
      </c>
      <c r="B490" s="1" t="s">
        <v>31</v>
      </c>
      <c r="C490" s="1" t="s">
        <v>43</v>
      </c>
      <c r="D490" s="5">
        <v>38886.839999999997</v>
      </c>
      <c r="E490" s="5">
        <v>40002.959999999999</v>
      </c>
      <c r="F490" s="5" t="s">
        <v>66</v>
      </c>
      <c r="G490" s="5">
        <v>-1116.1200000000031</v>
      </c>
      <c r="H490" s="5">
        <v>-2.7900935330785588</v>
      </c>
      <c r="I490" s="1" t="s">
        <v>68</v>
      </c>
    </row>
    <row r="491" spans="1:9" x14ac:dyDescent="0.45">
      <c r="A491" s="1" t="s">
        <v>22</v>
      </c>
      <c r="B491" s="1" t="s">
        <v>31</v>
      </c>
      <c r="C491" s="1" t="s">
        <v>49</v>
      </c>
      <c r="D491" s="5">
        <v>162540.59</v>
      </c>
      <c r="E491" s="5">
        <v>163651.13</v>
      </c>
      <c r="F491" s="5" t="s">
        <v>66</v>
      </c>
      <c r="G491" s="5">
        <v>-1110.5400000000079</v>
      </c>
      <c r="H491" s="5">
        <v>-0.67860209703410435</v>
      </c>
      <c r="I491" s="1" t="s">
        <v>68</v>
      </c>
    </row>
    <row r="492" spans="1:9" x14ac:dyDescent="0.45">
      <c r="A492" s="1" t="s">
        <v>5</v>
      </c>
      <c r="B492" s="1" t="s">
        <v>31</v>
      </c>
      <c r="C492" s="1" t="s">
        <v>39</v>
      </c>
      <c r="D492" s="5">
        <v>15067.62</v>
      </c>
      <c r="E492" s="5">
        <v>16172.71</v>
      </c>
      <c r="F492" s="5" t="s">
        <v>66</v>
      </c>
      <c r="G492" s="5">
        <v>-1105.0899999999981</v>
      </c>
      <c r="H492" s="5">
        <v>-6.8330539532335548</v>
      </c>
      <c r="I492" s="1" t="s">
        <v>68</v>
      </c>
    </row>
    <row r="493" spans="1:9" x14ac:dyDescent="0.45">
      <c r="A493" s="1" t="s">
        <v>17</v>
      </c>
      <c r="B493" s="1" t="s">
        <v>31</v>
      </c>
      <c r="C493" s="1" t="s">
        <v>46</v>
      </c>
      <c r="D493" s="5">
        <v>91702.94</v>
      </c>
      <c r="E493" s="5">
        <v>90627.93</v>
      </c>
      <c r="F493" s="5" t="s">
        <v>66</v>
      </c>
      <c r="G493" s="5">
        <v>1075.0100000000091</v>
      </c>
      <c r="H493" s="5">
        <v>1.1861795806215689</v>
      </c>
      <c r="I493" s="1" t="s">
        <v>67</v>
      </c>
    </row>
    <row r="494" spans="1:9" x14ac:dyDescent="0.45">
      <c r="A494" s="1" t="s">
        <v>17</v>
      </c>
      <c r="B494" s="1" t="s">
        <v>31</v>
      </c>
      <c r="C494" s="1" t="s">
        <v>34</v>
      </c>
      <c r="D494" s="5">
        <v>13096.74</v>
      </c>
      <c r="E494" s="5">
        <v>14170.66</v>
      </c>
      <c r="F494" s="5" t="s">
        <v>66</v>
      </c>
      <c r="G494" s="5">
        <v>-1073.92</v>
      </c>
      <c r="H494" s="5">
        <v>-7.5784755261928529</v>
      </c>
      <c r="I494" s="1" t="s">
        <v>68</v>
      </c>
    </row>
    <row r="495" spans="1:9" x14ac:dyDescent="0.45">
      <c r="A495" s="1" t="s">
        <v>19</v>
      </c>
      <c r="B495" s="1" t="s">
        <v>31</v>
      </c>
      <c r="C495" s="1" t="s">
        <v>53</v>
      </c>
      <c r="D495" s="5">
        <v>45132.84</v>
      </c>
      <c r="E495" s="5">
        <v>44075.92</v>
      </c>
      <c r="F495" s="5" t="s">
        <v>66</v>
      </c>
      <c r="G495" s="5">
        <v>1056.919999999998</v>
      </c>
      <c r="H495" s="5">
        <v>2.397953349584077</v>
      </c>
      <c r="I495" s="1" t="s">
        <v>67</v>
      </c>
    </row>
    <row r="496" spans="1:9" x14ac:dyDescent="0.45">
      <c r="A496" s="1" t="s">
        <v>11</v>
      </c>
      <c r="B496" s="1" t="s">
        <v>31</v>
      </c>
      <c r="C496" s="1" t="s">
        <v>51</v>
      </c>
      <c r="D496" s="5">
        <v>44440.31</v>
      </c>
      <c r="E496" s="5">
        <v>45460.09</v>
      </c>
      <c r="F496" s="5" t="s">
        <v>66</v>
      </c>
      <c r="G496" s="5">
        <v>-1019.7799999999989</v>
      </c>
      <c r="H496" s="5">
        <v>-2.2432423692957908</v>
      </c>
      <c r="I496" s="1" t="s">
        <v>68</v>
      </c>
    </row>
    <row r="497" spans="1:9" x14ac:dyDescent="0.45">
      <c r="A497" s="1" t="s">
        <v>3</v>
      </c>
      <c r="B497" s="1" t="s">
        <v>31</v>
      </c>
      <c r="C497" s="1" t="s">
        <v>36</v>
      </c>
      <c r="D497" s="5">
        <v>5657.48</v>
      </c>
      <c r="E497" s="5">
        <v>6675.18</v>
      </c>
      <c r="F497" s="5" t="s">
        <v>66</v>
      </c>
      <c r="G497" s="5">
        <v>-1017.700000000001</v>
      </c>
      <c r="H497" s="5">
        <v>-15.2460308186446</v>
      </c>
      <c r="I497" s="1" t="s">
        <v>68</v>
      </c>
    </row>
    <row r="498" spans="1:9" x14ac:dyDescent="0.45">
      <c r="A498" s="1" t="s">
        <v>22</v>
      </c>
      <c r="B498" s="1" t="s">
        <v>31</v>
      </c>
      <c r="C498" s="1" t="s">
        <v>39</v>
      </c>
      <c r="D498" s="5">
        <v>18254.25</v>
      </c>
      <c r="E498" s="5">
        <v>19264.02</v>
      </c>
      <c r="F498" s="5" t="s">
        <v>66</v>
      </c>
      <c r="G498" s="5">
        <v>-1009.77</v>
      </c>
      <c r="H498" s="5">
        <v>-5.2417408204518079</v>
      </c>
      <c r="I498" s="1" t="s">
        <v>68</v>
      </c>
    </row>
    <row r="499" spans="1:9" x14ac:dyDescent="0.45">
      <c r="A499" s="1" t="s">
        <v>23</v>
      </c>
      <c r="B499" s="1" t="s">
        <v>31</v>
      </c>
      <c r="C499" s="1" t="s">
        <v>48</v>
      </c>
      <c r="D499" s="5">
        <v>113824.24</v>
      </c>
      <c r="E499" s="5">
        <v>114823.96</v>
      </c>
      <c r="F499" s="5" t="s">
        <v>66</v>
      </c>
      <c r="G499" s="5">
        <v>-999.72000000000116</v>
      </c>
      <c r="H499" s="5">
        <v>-0.87065452193078963</v>
      </c>
      <c r="I499" s="1" t="s">
        <v>68</v>
      </c>
    </row>
    <row r="500" spans="1:9" x14ac:dyDescent="0.45">
      <c r="A500" s="1" t="s">
        <v>14</v>
      </c>
      <c r="B500" s="1" t="s">
        <v>31</v>
      </c>
      <c r="C500" s="1" t="s">
        <v>34</v>
      </c>
      <c r="D500" s="5">
        <v>12436.51</v>
      </c>
      <c r="E500" s="5">
        <v>13408.39</v>
      </c>
      <c r="F500" s="5" t="s">
        <v>66</v>
      </c>
      <c r="G500" s="5">
        <v>-971.8799999999992</v>
      </c>
      <c r="H500" s="5">
        <v>-7.2482975211788983</v>
      </c>
      <c r="I500" s="1" t="s">
        <v>68</v>
      </c>
    </row>
    <row r="501" spans="1:9" x14ac:dyDescent="0.45">
      <c r="A501" s="1" t="s">
        <v>21</v>
      </c>
      <c r="B501" s="1" t="s">
        <v>31</v>
      </c>
      <c r="C501" s="1" t="s">
        <v>35</v>
      </c>
      <c r="D501" s="5">
        <v>49532.97</v>
      </c>
      <c r="E501" s="5">
        <v>48562.81</v>
      </c>
      <c r="F501" s="5" t="s">
        <v>66</v>
      </c>
      <c r="G501" s="5">
        <v>970.16000000000349</v>
      </c>
      <c r="H501" s="5">
        <v>1.9977427171121349</v>
      </c>
      <c r="I501" s="1" t="s">
        <v>67</v>
      </c>
    </row>
    <row r="502" spans="1:9" x14ac:dyDescent="0.45">
      <c r="A502" s="1" t="s">
        <v>14</v>
      </c>
      <c r="B502" s="1" t="s">
        <v>31</v>
      </c>
      <c r="C502" s="1" t="s">
        <v>36</v>
      </c>
      <c r="D502" s="5">
        <v>4248.33</v>
      </c>
      <c r="E502" s="5">
        <v>5215.8900000000003</v>
      </c>
      <c r="F502" s="5" t="s">
        <v>66</v>
      </c>
      <c r="G502" s="5">
        <v>-967.5600000000004</v>
      </c>
      <c r="H502" s="5">
        <v>-18.55023783093586</v>
      </c>
      <c r="I502" s="1" t="s">
        <v>68</v>
      </c>
    </row>
    <row r="503" spans="1:9" x14ac:dyDescent="0.45">
      <c r="A503" s="1" t="s">
        <v>15</v>
      </c>
      <c r="B503" s="1" t="s">
        <v>31</v>
      </c>
      <c r="C503" s="1" t="s">
        <v>51</v>
      </c>
      <c r="D503" s="5">
        <v>33801.67</v>
      </c>
      <c r="E503" s="5">
        <v>34752.9</v>
      </c>
      <c r="F503" s="5" t="s">
        <v>66</v>
      </c>
      <c r="G503" s="5">
        <v>-951.2300000000032</v>
      </c>
      <c r="H503" s="5">
        <v>-2.7371240961186061</v>
      </c>
      <c r="I503" s="1" t="s">
        <v>68</v>
      </c>
    </row>
    <row r="504" spans="1:9" x14ac:dyDescent="0.45">
      <c r="A504" s="1" t="s">
        <v>11</v>
      </c>
      <c r="B504" s="1" t="s">
        <v>31</v>
      </c>
      <c r="C504" s="1" t="s">
        <v>34</v>
      </c>
      <c r="D504" s="5">
        <v>12465.15</v>
      </c>
      <c r="E504" s="5">
        <v>13403.59</v>
      </c>
      <c r="F504" s="5" t="s">
        <v>66</v>
      </c>
      <c r="G504" s="5">
        <v>-938.44000000000051</v>
      </c>
      <c r="H504" s="5">
        <v>-7.0014078317823847</v>
      </c>
      <c r="I504" s="1" t="s">
        <v>68</v>
      </c>
    </row>
    <row r="505" spans="1:9" x14ac:dyDescent="0.45">
      <c r="A505" s="1" t="s">
        <v>15</v>
      </c>
      <c r="B505" s="1" t="s">
        <v>31</v>
      </c>
      <c r="C505" s="1" t="s">
        <v>34</v>
      </c>
      <c r="D505" s="5">
        <v>12959.04</v>
      </c>
      <c r="E505" s="5">
        <v>13885.39</v>
      </c>
      <c r="F505" s="5" t="s">
        <v>66</v>
      </c>
      <c r="G505" s="5">
        <v>-926.34999999999854</v>
      </c>
      <c r="H505" s="5">
        <v>-6.6714006592540693</v>
      </c>
      <c r="I505" s="1" t="s">
        <v>68</v>
      </c>
    </row>
    <row r="506" spans="1:9" x14ac:dyDescent="0.45">
      <c r="A506" s="1" t="s">
        <v>8</v>
      </c>
      <c r="B506" s="1" t="s">
        <v>31</v>
      </c>
      <c r="C506" s="1" t="s">
        <v>34</v>
      </c>
      <c r="D506" s="5">
        <v>12200.85</v>
      </c>
      <c r="E506" s="5">
        <v>13108.77</v>
      </c>
      <c r="F506" s="5" t="s">
        <v>66</v>
      </c>
      <c r="G506" s="5">
        <v>-907.92000000000007</v>
      </c>
      <c r="H506" s="5">
        <v>-6.926050270162647</v>
      </c>
      <c r="I506" s="1" t="s">
        <v>68</v>
      </c>
    </row>
    <row r="507" spans="1:9" x14ac:dyDescent="0.45">
      <c r="A507" s="1" t="s">
        <v>3</v>
      </c>
      <c r="B507" s="1" t="s">
        <v>31</v>
      </c>
      <c r="C507" s="1" t="s">
        <v>34</v>
      </c>
      <c r="D507" s="5">
        <v>11894.85</v>
      </c>
      <c r="E507" s="5">
        <v>12799.89</v>
      </c>
      <c r="F507" s="5" t="s">
        <v>66</v>
      </c>
      <c r="G507" s="5">
        <v>-905.03999999999905</v>
      </c>
      <c r="H507" s="5">
        <v>-7.0706857637057752</v>
      </c>
      <c r="I507" s="1" t="s">
        <v>68</v>
      </c>
    </row>
    <row r="508" spans="1:9" x14ac:dyDescent="0.45">
      <c r="A508" s="1" t="s">
        <v>17</v>
      </c>
      <c r="B508" s="1" t="s">
        <v>31</v>
      </c>
      <c r="C508" s="1" t="s">
        <v>39</v>
      </c>
      <c r="D508" s="5">
        <v>13430.82</v>
      </c>
      <c r="E508" s="5">
        <v>14330.23</v>
      </c>
      <c r="F508" s="5" t="s">
        <v>66</v>
      </c>
      <c r="G508" s="5">
        <v>-899.40999999999985</v>
      </c>
      <c r="H508" s="5">
        <v>-6.2763123829833836</v>
      </c>
      <c r="I508" s="1" t="s">
        <v>68</v>
      </c>
    </row>
    <row r="509" spans="1:9" x14ac:dyDescent="0.45">
      <c r="A509" s="1" t="s">
        <v>13</v>
      </c>
      <c r="B509" s="1" t="s">
        <v>31</v>
      </c>
      <c r="C509" s="1" t="s">
        <v>36</v>
      </c>
      <c r="D509" s="5">
        <v>4415.16</v>
      </c>
      <c r="E509" s="5">
        <v>5307.7</v>
      </c>
      <c r="F509" s="5" t="s">
        <v>66</v>
      </c>
      <c r="G509" s="5">
        <v>-892.54</v>
      </c>
      <c r="H509" s="5">
        <v>-16.815946643555591</v>
      </c>
      <c r="I509" s="1" t="s">
        <v>68</v>
      </c>
    </row>
    <row r="510" spans="1:9" x14ac:dyDescent="0.45">
      <c r="A510" s="1" t="s">
        <v>25</v>
      </c>
      <c r="B510" s="1" t="s">
        <v>31</v>
      </c>
      <c r="C510" s="1" t="s">
        <v>34</v>
      </c>
      <c r="D510" s="5">
        <v>13416.84</v>
      </c>
      <c r="E510" s="5">
        <v>14272</v>
      </c>
      <c r="F510" s="5" t="s">
        <v>66</v>
      </c>
      <c r="G510" s="5">
        <v>-855.15999999999985</v>
      </c>
      <c r="H510" s="5">
        <v>-5.9918721973094158</v>
      </c>
      <c r="I510" s="1" t="s">
        <v>68</v>
      </c>
    </row>
    <row r="511" spans="1:9" x14ac:dyDescent="0.45">
      <c r="A511" s="1" t="s">
        <v>24</v>
      </c>
      <c r="B511" s="1" t="s">
        <v>27</v>
      </c>
      <c r="C511" s="1" t="s">
        <v>30</v>
      </c>
      <c r="D511" s="5">
        <v>63051.7</v>
      </c>
      <c r="E511" s="5">
        <v>62208.76</v>
      </c>
      <c r="F511" s="5" t="s">
        <v>66</v>
      </c>
      <c r="G511" s="5">
        <v>842.93999999999505</v>
      </c>
      <c r="H511" s="5">
        <v>1.3550181678593101</v>
      </c>
      <c r="I511" s="1" t="s">
        <v>67</v>
      </c>
    </row>
    <row r="512" spans="1:9" x14ac:dyDescent="0.45">
      <c r="A512" s="1" t="s">
        <v>12</v>
      </c>
      <c r="B512" s="1" t="s">
        <v>31</v>
      </c>
      <c r="C512" s="1" t="s">
        <v>34</v>
      </c>
      <c r="D512" s="5">
        <v>12673.74</v>
      </c>
      <c r="E512" s="5">
        <v>13507.6</v>
      </c>
      <c r="F512" s="5" t="s">
        <v>66</v>
      </c>
      <c r="G512" s="5">
        <v>-833.86000000000058</v>
      </c>
      <c r="H512" s="5">
        <v>-6.1732654209482112</v>
      </c>
      <c r="I512" s="1" t="s">
        <v>68</v>
      </c>
    </row>
    <row r="513" spans="1:9" x14ac:dyDescent="0.45">
      <c r="A513" s="1" t="s">
        <v>20</v>
      </c>
      <c r="B513" s="1" t="s">
        <v>27</v>
      </c>
      <c r="C513" s="1" t="s">
        <v>30</v>
      </c>
      <c r="D513" s="5">
        <v>63667.37</v>
      </c>
      <c r="E513" s="5">
        <v>62843.47</v>
      </c>
      <c r="F513" s="5" t="s">
        <v>66</v>
      </c>
      <c r="G513" s="5">
        <v>823.90000000000146</v>
      </c>
      <c r="H513" s="5">
        <v>1.311035179947895</v>
      </c>
      <c r="I513" s="1" t="s">
        <v>67</v>
      </c>
    </row>
    <row r="514" spans="1:9" x14ac:dyDescent="0.45">
      <c r="A514" s="1" t="s">
        <v>13</v>
      </c>
      <c r="B514" s="1" t="s">
        <v>31</v>
      </c>
      <c r="C514" s="1" t="s">
        <v>41</v>
      </c>
      <c r="D514" s="5">
        <v>8844.9500000000007</v>
      </c>
      <c r="E514" s="5">
        <v>9668.6</v>
      </c>
      <c r="F514" s="5" t="s">
        <v>66</v>
      </c>
      <c r="G514" s="5">
        <v>-823.64999999999964</v>
      </c>
      <c r="H514" s="5">
        <v>-8.518813478683569</v>
      </c>
      <c r="I514" s="1" t="s">
        <v>68</v>
      </c>
    </row>
    <row r="515" spans="1:9" x14ac:dyDescent="0.45">
      <c r="A515" s="1" t="s">
        <v>20</v>
      </c>
      <c r="B515" s="1" t="s">
        <v>31</v>
      </c>
      <c r="C515" s="1" t="s">
        <v>41</v>
      </c>
      <c r="D515" s="5">
        <v>8813.7900000000009</v>
      </c>
      <c r="E515" s="5">
        <v>9637.16</v>
      </c>
      <c r="F515" s="5" t="s">
        <v>66</v>
      </c>
      <c r="G515" s="5">
        <v>-823.36999999999898</v>
      </c>
      <c r="H515" s="5">
        <v>-8.5436995961465723</v>
      </c>
      <c r="I515" s="1" t="s">
        <v>68</v>
      </c>
    </row>
    <row r="516" spans="1:9" x14ac:dyDescent="0.45">
      <c r="A516" s="1" t="s">
        <v>21</v>
      </c>
      <c r="B516" s="1" t="s">
        <v>27</v>
      </c>
      <c r="C516" s="1" t="s">
        <v>29</v>
      </c>
      <c r="D516" s="5">
        <v>182680.19</v>
      </c>
      <c r="E516" s="5">
        <v>183501.91</v>
      </c>
      <c r="F516" s="5" t="s">
        <v>66</v>
      </c>
      <c r="G516" s="5">
        <v>-821.72000000000116</v>
      </c>
      <c r="H516" s="5">
        <v>-0.44779915369818291</v>
      </c>
      <c r="I516" s="1" t="s">
        <v>68</v>
      </c>
    </row>
    <row r="517" spans="1:9" x14ac:dyDescent="0.45">
      <c r="A517" s="1" t="s">
        <v>12</v>
      </c>
      <c r="B517" s="1" t="s">
        <v>31</v>
      </c>
      <c r="C517" s="1" t="s">
        <v>37</v>
      </c>
      <c r="D517" s="5">
        <v>32450.54</v>
      </c>
      <c r="E517" s="5">
        <v>31651.79</v>
      </c>
      <c r="F517" s="5" t="s">
        <v>66</v>
      </c>
      <c r="G517" s="5">
        <v>798.75</v>
      </c>
      <c r="H517" s="5">
        <v>2.5235539601393788</v>
      </c>
      <c r="I517" s="1" t="s">
        <v>67</v>
      </c>
    </row>
    <row r="518" spans="1:9" x14ac:dyDescent="0.45">
      <c r="A518" s="1" t="s">
        <v>24</v>
      </c>
      <c r="B518" s="1" t="s">
        <v>31</v>
      </c>
      <c r="C518" s="1" t="s">
        <v>36</v>
      </c>
      <c r="D518" s="5">
        <v>4816.34</v>
      </c>
      <c r="E518" s="5">
        <v>5613.86</v>
      </c>
      <c r="F518" s="5" t="s">
        <v>66</v>
      </c>
      <c r="G518" s="5">
        <v>-797.51999999999953</v>
      </c>
      <c r="H518" s="5">
        <v>-14.206268057985049</v>
      </c>
      <c r="I518" s="1" t="s">
        <v>68</v>
      </c>
    </row>
    <row r="519" spans="1:9" x14ac:dyDescent="0.45">
      <c r="A519" s="1" t="s">
        <v>12</v>
      </c>
      <c r="B519" s="1" t="s">
        <v>31</v>
      </c>
      <c r="C519" s="1" t="s">
        <v>49</v>
      </c>
      <c r="D519" s="5">
        <v>162744.70000000001</v>
      </c>
      <c r="E519" s="5">
        <v>163524.28</v>
      </c>
      <c r="F519" s="5" t="s">
        <v>66</v>
      </c>
      <c r="G519" s="5">
        <v>-779.57999999998719</v>
      </c>
      <c r="H519" s="5">
        <v>-0.47673654334389193</v>
      </c>
      <c r="I519" s="1" t="s">
        <v>68</v>
      </c>
    </row>
    <row r="520" spans="1:9" x14ac:dyDescent="0.45">
      <c r="A520" s="1" t="s">
        <v>15</v>
      </c>
      <c r="B520" s="1" t="s">
        <v>54</v>
      </c>
      <c r="C520" s="1" t="s">
        <v>57</v>
      </c>
      <c r="D520" s="5">
        <v>393121.07</v>
      </c>
      <c r="E520" s="5">
        <v>392354.8</v>
      </c>
      <c r="F520" s="5" t="s">
        <v>66</v>
      </c>
      <c r="G520" s="5">
        <v>766.27000000001863</v>
      </c>
      <c r="H520" s="5">
        <v>0.19530027413963549</v>
      </c>
      <c r="I520" s="1" t="s">
        <v>68</v>
      </c>
    </row>
    <row r="521" spans="1:9" x14ac:dyDescent="0.45">
      <c r="A521" s="1" t="s">
        <v>16</v>
      </c>
      <c r="B521" s="1" t="s">
        <v>31</v>
      </c>
      <c r="C521" s="1" t="s">
        <v>37</v>
      </c>
      <c r="D521" s="5">
        <v>29393.46</v>
      </c>
      <c r="E521" s="5">
        <v>28627.96</v>
      </c>
      <c r="F521" s="5" t="s">
        <v>66</v>
      </c>
      <c r="G521" s="5">
        <v>765.5</v>
      </c>
      <c r="H521" s="5">
        <v>2.6739593041208658</v>
      </c>
      <c r="I521" s="1" t="s">
        <v>67</v>
      </c>
    </row>
    <row r="522" spans="1:9" x14ac:dyDescent="0.45">
      <c r="A522" s="1" t="s">
        <v>17</v>
      </c>
      <c r="B522" s="1" t="s">
        <v>31</v>
      </c>
      <c r="C522" s="1" t="s">
        <v>35</v>
      </c>
      <c r="D522" s="5">
        <v>48620.73</v>
      </c>
      <c r="E522" s="5">
        <v>47858.9</v>
      </c>
      <c r="F522" s="5" t="s">
        <v>66</v>
      </c>
      <c r="G522" s="5">
        <v>761.83000000000175</v>
      </c>
      <c r="H522" s="5">
        <v>1.591825135972623</v>
      </c>
      <c r="I522" s="1" t="s">
        <v>67</v>
      </c>
    </row>
    <row r="523" spans="1:9" x14ac:dyDescent="0.45">
      <c r="A523" s="1" t="s">
        <v>22</v>
      </c>
      <c r="B523" s="1" t="s">
        <v>31</v>
      </c>
      <c r="C523" s="1" t="s">
        <v>36</v>
      </c>
      <c r="D523" s="5">
        <v>4717.91</v>
      </c>
      <c r="E523" s="5">
        <v>5464.53</v>
      </c>
      <c r="F523" s="5" t="s">
        <v>66</v>
      </c>
      <c r="G523" s="5">
        <v>-746.61999999999989</v>
      </c>
      <c r="H523" s="5">
        <v>-13.663023169421709</v>
      </c>
      <c r="I523" s="1" t="s">
        <v>68</v>
      </c>
    </row>
    <row r="524" spans="1:9" x14ac:dyDescent="0.45">
      <c r="A524" s="1" t="s">
        <v>17</v>
      </c>
      <c r="B524" s="1" t="s">
        <v>31</v>
      </c>
      <c r="C524" s="1" t="s">
        <v>40</v>
      </c>
      <c r="D524" s="5">
        <v>21082.07</v>
      </c>
      <c r="E524" s="5">
        <v>21824.39</v>
      </c>
      <c r="F524" s="5" t="s">
        <v>66</v>
      </c>
      <c r="G524" s="5">
        <v>-742.31999999999971</v>
      </c>
      <c r="H524" s="5">
        <v>-3.4013321792728211</v>
      </c>
      <c r="I524" s="1" t="s">
        <v>68</v>
      </c>
    </row>
    <row r="525" spans="1:9" x14ac:dyDescent="0.45">
      <c r="A525" s="1" t="s">
        <v>7</v>
      </c>
      <c r="B525" s="1" t="s">
        <v>31</v>
      </c>
      <c r="C525" s="1" t="s">
        <v>36</v>
      </c>
      <c r="D525" s="5">
        <v>5199.42</v>
      </c>
      <c r="E525" s="5">
        <v>5914.53</v>
      </c>
      <c r="F525" s="5" t="s">
        <v>66</v>
      </c>
      <c r="G525" s="5">
        <v>-715.10999999999967</v>
      </c>
      <c r="H525" s="5">
        <v>-12.090732484237961</v>
      </c>
      <c r="I525" s="1" t="s">
        <v>68</v>
      </c>
    </row>
    <row r="526" spans="1:9" x14ac:dyDescent="0.45">
      <c r="A526" s="1" t="s">
        <v>9</v>
      </c>
      <c r="B526" s="1" t="s">
        <v>31</v>
      </c>
      <c r="C526" s="1" t="s">
        <v>41</v>
      </c>
      <c r="D526" s="5">
        <v>8036.26</v>
      </c>
      <c r="E526" s="5">
        <v>8750.5300000000007</v>
      </c>
      <c r="F526" s="5" t="s">
        <v>66</v>
      </c>
      <c r="G526" s="5">
        <v>-714.27000000000044</v>
      </c>
      <c r="H526" s="5">
        <v>-8.1625912944701682</v>
      </c>
      <c r="I526" s="1" t="s">
        <v>68</v>
      </c>
    </row>
    <row r="527" spans="1:9" x14ac:dyDescent="0.45">
      <c r="A527" s="1" t="s">
        <v>24</v>
      </c>
      <c r="B527" s="1" t="s">
        <v>31</v>
      </c>
      <c r="C527" s="1" t="s">
        <v>41</v>
      </c>
      <c r="D527" s="5">
        <v>8767.7999999999993</v>
      </c>
      <c r="E527" s="5">
        <v>9475.93</v>
      </c>
      <c r="F527" s="5" t="s">
        <v>66</v>
      </c>
      <c r="G527" s="5">
        <v>-708.13000000000102</v>
      </c>
      <c r="H527" s="5">
        <v>-7.4729340550215229</v>
      </c>
      <c r="I527" s="1" t="s">
        <v>68</v>
      </c>
    </row>
    <row r="528" spans="1:9" x14ac:dyDescent="0.45">
      <c r="A528" s="1" t="s">
        <v>5</v>
      </c>
      <c r="B528" s="1" t="s">
        <v>31</v>
      </c>
      <c r="C528" s="1" t="s">
        <v>37</v>
      </c>
      <c r="D528" s="5">
        <v>23180.16</v>
      </c>
      <c r="E528" s="5">
        <v>23881.57</v>
      </c>
      <c r="F528" s="5" t="s">
        <v>66</v>
      </c>
      <c r="G528" s="5">
        <v>-701.40999999999985</v>
      </c>
      <c r="H528" s="5">
        <v>-2.937034709192067</v>
      </c>
      <c r="I528" s="1" t="s">
        <v>68</v>
      </c>
    </row>
    <row r="529" spans="1:9" x14ac:dyDescent="0.45">
      <c r="A529" s="1" t="s">
        <v>9</v>
      </c>
      <c r="B529" s="1" t="s">
        <v>31</v>
      </c>
      <c r="C529" s="1" t="s">
        <v>34</v>
      </c>
      <c r="D529" s="5">
        <v>12383.09</v>
      </c>
      <c r="E529" s="5">
        <v>13071.97</v>
      </c>
      <c r="F529" s="5" t="s">
        <v>66</v>
      </c>
      <c r="G529" s="5">
        <v>-688.8799999999992</v>
      </c>
      <c r="H529" s="5">
        <v>-5.2699019352094538</v>
      </c>
      <c r="I529" s="1" t="s">
        <v>68</v>
      </c>
    </row>
    <row r="530" spans="1:9" x14ac:dyDescent="0.45">
      <c r="A530" s="1" t="s">
        <v>4</v>
      </c>
      <c r="B530" s="1" t="s">
        <v>31</v>
      </c>
      <c r="C530" s="1" t="s">
        <v>41</v>
      </c>
      <c r="D530" s="5">
        <v>8077.89</v>
      </c>
      <c r="E530" s="5">
        <v>8765.2900000000009</v>
      </c>
      <c r="F530" s="5" t="s">
        <v>66</v>
      </c>
      <c r="G530" s="5">
        <v>-687.40000000000055</v>
      </c>
      <c r="H530" s="5">
        <v>-7.8422961476460049</v>
      </c>
      <c r="I530" s="1" t="s">
        <v>68</v>
      </c>
    </row>
    <row r="531" spans="1:9" x14ac:dyDescent="0.45">
      <c r="A531" s="1" t="s">
        <v>5</v>
      </c>
      <c r="B531" s="1" t="s">
        <v>54</v>
      </c>
      <c r="C531" s="1" t="s">
        <v>55</v>
      </c>
      <c r="D531" s="5">
        <v>51159.97</v>
      </c>
      <c r="E531" s="5">
        <v>50495.93</v>
      </c>
      <c r="F531" s="5" t="s">
        <v>66</v>
      </c>
      <c r="G531" s="5">
        <v>664.04000000000087</v>
      </c>
      <c r="H531" s="5">
        <v>1.315036677213393</v>
      </c>
      <c r="I531" s="1" t="s">
        <v>68</v>
      </c>
    </row>
    <row r="532" spans="1:9" x14ac:dyDescent="0.45">
      <c r="A532" s="1" t="s">
        <v>8</v>
      </c>
      <c r="B532" s="1" t="s">
        <v>31</v>
      </c>
      <c r="C532" s="1" t="s">
        <v>39</v>
      </c>
      <c r="D532" s="5">
        <v>16892.3</v>
      </c>
      <c r="E532" s="5">
        <v>17527.82</v>
      </c>
      <c r="F532" s="5" t="s">
        <v>66</v>
      </c>
      <c r="G532" s="5">
        <v>-635.52000000000044</v>
      </c>
      <c r="H532" s="5">
        <v>-3.6257789046213409</v>
      </c>
      <c r="I532" s="1" t="s">
        <v>68</v>
      </c>
    </row>
    <row r="533" spans="1:9" x14ac:dyDescent="0.45">
      <c r="A533" s="1" t="s">
        <v>16</v>
      </c>
      <c r="B533" s="1" t="s">
        <v>31</v>
      </c>
      <c r="C533" s="1" t="s">
        <v>38</v>
      </c>
      <c r="D533" s="5">
        <v>125980.85</v>
      </c>
      <c r="E533" s="5">
        <v>125351.16</v>
      </c>
      <c r="F533" s="5" t="s">
        <v>66</v>
      </c>
      <c r="G533" s="5">
        <v>629.69000000000233</v>
      </c>
      <c r="H533" s="5">
        <v>0.5023407840820957</v>
      </c>
      <c r="I533" s="1" t="s">
        <v>67</v>
      </c>
    </row>
    <row r="534" spans="1:9" x14ac:dyDescent="0.45">
      <c r="A534" s="1" t="s">
        <v>19</v>
      </c>
      <c r="B534" s="1" t="s">
        <v>31</v>
      </c>
      <c r="C534" s="1" t="s">
        <v>49</v>
      </c>
      <c r="D534" s="5">
        <v>158408.28</v>
      </c>
      <c r="E534" s="5">
        <v>159021.42000000001</v>
      </c>
      <c r="F534" s="5" t="s">
        <v>66</v>
      </c>
      <c r="G534" s="5">
        <v>-613.14000000001397</v>
      </c>
      <c r="H534" s="5">
        <v>-0.38557069858891591</v>
      </c>
      <c r="I534" s="1" t="s">
        <v>68</v>
      </c>
    </row>
    <row r="535" spans="1:9" x14ac:dyDescent="0.45">
      <c r="A535" s="1" t="s">
        <v>3</v>
      </c>
      <c r="B535" s="1" t="s">
        <v>31</v>
      </c>
      <c r="C535" s="1" t="s">
        <v>39</v>
      </c>
      <c r="D535" s="5">
        <v>17723.28</v>
      </c>
      <c r="E535" s="5">
        <v>17112.7</v>
      </c>
      <c r="F535" s="5" t="s">
        <v>66</v>
      </c>
      <c r="G535" s="5">
        <v>610.57999999999811</v>
      </c>
      <c r="H535" s="5">
        <v>3.567993361655367</v>
      </c>
      <c r="I535" s="1" t="s">
        <v>67</v>
      </c>
    </row>
    <row r="536" spans="1:9" x14ac:dyDescent="0.45">
      <c r="A536" s="1" t="s">
        <v>20</v>
      </c>
      <c r="B536" s="1" t="s">
        <v>31</v>
      </c>
      <c r="C536" s="1" t="s">
        <v>33</v>
      </c>
      <c r="D536" s="5">
        <v>23778.41</v>
      </c>
      <c r="E536" s="5">
        <v>24385.439999999999</v>
      </c>
      <c r="F536" s="5" t="s">
        <v>66</v>
      </c>
      <c r="G536" s="5">
        <v>-607.02999999999884</v>
      </c>
      <c r="H536" s="5">
        <v>-2.4893132951466068</v>
      </c>
      <c r="I536" s="1" t="s">
        <v>68</v>
      </c>
    </row>
    <row r="537" spans="1:9" x14ac:dyDescent="0.45">
      <c r="A537" s="1" t="s">
        <v>20</v>
      </c>
      <c r="B537" s="1" t="s">
        <v>54</v>
      </c>
      <c r="C537" s="1" t="s">
        <v>57</v>
      </c>
      <c r="D537" s="5">
        <v>421112.38</v>
      </c>
      <c r="E537" s="5">
        <v>420508.54</v>
      </c>
      <c r="F537" s="5" t="s">
        <v>66</v>
      </c>
      <c r="G537" s="5">
        <v>603.84000000002561</v>
      </c>
      <c r="H537" s="5">
        <v>0.14359755927906381</v>
      </c>
      <c r="I537" s="1" t="s">
        <v>68</v>
      </c>
    </row>
    <row r="538" spans="1:9" x14ac:dyDescent="0.45">
      <c r="A538" s="1" t="s">
        <v>6</v>
      </c>
      <c r="B538" s="1" t="s">
        <v>31</v>
      </c>
      <c r="C538" s="1" t="s">
        <v>39</v>
      </c>
      <c r="D538" s="5">
        <v>18248.8</v>
      </c>
      <c r="E538" s="5">
        <v>17646.62</v>
      </c>
      <c r="F538" s="5" t="s">
        <v>66</v>
      </c>
      <c r="G538" s="5">
        <v>602.18000000000029</v>
      </c>
      <c r="H538" s="5">
        <v>3.4124381892963092</v>
      </c>
      <c r="I538" s="1" t="s">
        <v>67</v>
      </c>
    </row>
    <row r="539" spans="1:9" x14ac:dyDescent="0.45">
      <c r="A539" s="1" t="s">
        <v>25</v>
      </c>
      <c r="B539" s="1" t="s">
        <v>31</v>
      </c>
      <c r="C539" s="1" t="s">
        <v>33</v>
      </c>
      <c r="D539" s="5">
        <v>24565.38</v>
      </c>
      <c r="E539" s="5">
        <v>25160.48</v>
      </c>
      <c r="F539" s="5" t="s">
        <v>66</v>
      </c>
      <c r="G539" s="5">
        <v>-595.09999999999854</v>
      </c>
      <c r="H539" s="5">
        <v>-2.3652171977641072</v>
      </c>
      <c r="I539" s="1" t="s">
        <v>68</v>
      </c>
    </row>
    <row r="540" spans="1:9" x14ac:dyDescent="0.45">
      <c r="A540" s="1" t="s">
        <v>6</v>
      </c>
      <c r="B540" s="1" t="s">
        <v>31</v>
      </c>
      <c r="C540" s="1" t="s">
        <v>36</v>
      </c>
      <c r="D540" s="5">
        <v>4519.79</v>
      </c>
      <c r="E540" s="5">
        <v>5112.05</v>
      </c>
      <c r="F540" s="5" t="s">
        <v>66</v>
      </c>
      <c r="G540" s="5">
        <v>-592.26000000000022</v>
      </c>
      <c r="H540" s="5">
        <v>-11.585567433808359</v>
      </c>
      <c r="I540" s="1" t="s">
        <v>68</v>
      </c>
    </row>
    <row r="541" spans="1:9" x14ac:dyDescent="0.45">
      <c r="A541" s="1" t="s">
        <v>8</v>
      </c>
      <c r="B541" s="1" t="s">
        <v>31</v>
      </c>
      <c r="C541" s="1" t="s">
        <v>37</v>
      </c>
      <c r="D541" s="5">
        <v>31028.77</v>
      </c>
      <c r="E541" s="5">
        <v>30441.13</v>
      </c>
      <c r="F541" s="5" t="s">
        <v>66</v>
      </c>
      <c r="G541" s="5">
        <v>587.63999999999942</v>
      </c>
      <c r="H541" s="5">
        <v>1.9304145411159159</v>
      </c>
      <c r="I541" s="1" t="s">
        <v>67</v>
      </c>
    </row>
    <row r="542" spans="1:9" x14ac:dyDescent="0.45">
      <c r="A542" s="1" t="s">
        <v>23</v>
      </c>
      <c r="B542" s="1" t="s">
        <v>31</v>
      </c>
      <c r="C542" s="1" t="s">
        <v>39</v>
      </c>
      <c r="D542" s="5">
        <v>19578.310000000001</v>
      </c>
      <c r="E542" s="5">
        <v>18991.02</v>
      </c>
      <c r="F542" s="5" t="s">
        <v>66</v>
      </c>
      <c r="G542" s="5">
        <v>587.29000000000087</v>
      </c>
      <c r="H542" s="5">
        <v>3.092461595006486</v>
      </c>
      <c r="I542" s="1" t="s">
        <v>67</v>
      </c>
    </row>
    <row r="543" spans="1:9" x14ac:dyDescent="0.45">
      <c r="A543" s="1" t="s">
        <v>7</v>
      </c>
      <c r="B543" s="1" t="s">
        <v>31</v>
      </c>
      <c r="C543" s="1" t="s">
        <v>47</v>
      </c>
      <c r="D543" s="5">
        <v>91321.26</v>
      </c>
      <c r="E543" s="5">
        <v>91905.72</v>
      </c>
      <c r="F543" s="5" t="s">
        <v>66</v>
      </c>
      <c r="G543" s="5">
        <v>-584.4600000000064</v>
      </c>
      <c r="H543" s="5">
        <v>-0.63593430310975896</v>
      </c>
      <c r="I543" s="1" t="s">
        <v>68</v>
      </c>
    </row>
    <row r="544" spans="1:9" x14ac:dyDescent="0.45">
      <c r="A544" s="1" t="s">
        <v>6</v>
      </c>
      <c r="B544" s="1" t="s">
        <v>31</v>
      </c>
      <c r="C544" s="1" t="s">
        <v>34</v>
      </c>
      <c r="D544" s="5">
        <v>12021.35</v>
      </c>
      <c r="E544" s="5">
        <v>12581.46</v>
      </c>
      <c r="F544" s="5" t="s">
        <v>66</v>
      </c>
      <c r="G544" s="5">
        <v>-560.10999999999876</v>
      </c>
      <c r="H544" s="5">
        <v>-4.4518680661862682</v>
      </c>
      <c r="I544" s="1" t="s">
        <v>68</v>
      </c>
    </row>
    <row r="545" spans="1:9" x14ac:dyDescent="0.45">
      <c r="A545" s="1" t="s">
        <v>11</v>
      </c>
      <c r="B545" s="1" t="s">
        <v>54</v>
      </c>
      <c r="C545" s="1" t="s">
        <v>55</v>
      </c>
      <c r="D545" s="5">
        <v>50505.58</v>
      </c>
      <c r="E545" s="5">
        <v>51051.12</v>
      </c>
      <c r="F545" s="5" t="s">
        <v>66</v>
      </c>
      <c r="G545" s="5">
        <v>-545.54000000000087</v>
      </c>
      <c r="H545" s="5">
        <v>-1.0686151449762531</v>
      </c>
      <c r="I545" s="1" t="s">
        <v>67</v>
      </c>
    </row>
    <row r="546" spans="1:9" x14ac:dyDescent="0.45">
      <c r="A546" s="1" t="s">
        <v>21</v>
      </c>
      <c r="B546" s="1" t="s">
        <v>31</v>
      </c>
      <c r="C546" s="1" t="s">
        <v>39</v>
      </c>
      <c r="D546" s="5">
        <v>18393.87</v>
      </c>
      <c r="E546" s="5">
        <v>17854.900000000001</v>
      </c>
      <c r="F546" s="5" t="s">
        <v>66</v>
      </c>
      <c r="G546" s="5">
        <v>538.96999999999753</v>
      </c>
      <c r="H546" s="5">
        <v>3.0186111375588629</v>
      </c>
      <c r="I546" s="1" t="s">
        <v>67</v>
      </c>
    </row>
    <row r="547" spans="1:9" x14ac:dyDescent="0.45">
      <c r="A547" s="1" t="s">
        <v>22</v>
      </c>
      <c r="B547" s="1" t="s">
        <v>31</v>
      </c>
      <c r="C547" s="1" t="s">
        <v>51</v>
      </c>
      <c r="D547" s="5">
        <v>30328.74</v>
      </c>
      <c r="E547" s="5">
        <v>29795.01</v>
      </c>
      <c r="F547" s="5" t="s">
        <v>66</v>
      </c>
      <c r="G547" s="5">
        <v>533.7300000000032</v>
      </c>
      <c r="H547" s="5">
        <v>1.791340227776407</v>
      </c>
      <c r="I547" s="1" t="s">
        <v>67</v>
      </c>
    </row>
    <row r="548" spans="1:9" x14ac:dyDescent="0.45">
      <c r="A548" s="1" t="s">
        <v>12</v>
      </c>
      <c r="B548" s="1" t="s">
        <v>31</v>
      </c>
      <c r="C548" s="1" t="s">
        <v>41</v>
      </c>
      <c r="D548" s="5">
        <v>9084.57</v>
      </c>
      <c r="E548" s="5">
        <v>9617.31</v>
      </c>
      <c r="F548" s="5" t="s">
        <v>66</v>
      </c>
      <c r="G548" s="5">
        <v>-532.73999999999978</v>
      </c>
      <c r="H548" s="5">
        <v>-5.5393867931885286</v>
      </c>
      <c r="I548" s="1" t="s">
        <v>68</v>
      </c>
    </row>
    <row r="549" spans="1:9" x14ac:dyDescent="0.45">
      <c r="A549" s="1" t="s">
        <v>24</v>
      </c>
      <c r="B549" s="1" t="s">
        <v>31</v>
      </c>
      <c r="C549" s="1" t="s">
        <v>51</v>
      </c>
      <c r="D549" s="5">
        <v>30862.47</v>
      </c>
      <c r="E549" s="5">
        <v>31388.32</v>
      </c>
      <c r="F549" s="5" t="s">
        <v>66</v>
      </c>
      <c r="G549" s="5">
        <v>-525.84999999999854</v>
      </c>
      <c r="H549" s="5">
        <v>-1.675304699327643</v>
      </c>
      <c r="I549" s="1" t="s">
        <v>68</v>
      </c>
    </row>
    <row r="550" spans="1:9" x14ac:dyDescent="0.45">
      <c r="A550" s="1" t="s">
        <v>15</v>
      </c>
      <c r="B550" s="1" t="s">
        <v>31</v>
      </c>
      <c r="C550" s="1" t="s">
        <v>36</v>
      </c>
      <c r="D550" s="5">
        <v>6176.02</v>
      </c>
      <c r="E550" s="5">
        <v>6689.2</v>
      </c>
      <c r="F550" s="5" t="s">
        <v>66</v>
      </c>
      <c r="G550" s="5">
        <v>-513.17999999999938</v>
      </c>
      <c r="H550" s="5">
        <v>-7.671769419362545</v>
      </c>
      <c r="I550" s="1" t="s">
        <v>68</v>
      </c>
    </row>
    <row r="551" spans="1:9" x14ac:dyDescent="0.45">
      <c r="A551" s="1" t="s">
        <v>15</v>
      </c>
      <c r="B551" s="1" t="s">
        <v>31</v>
      </c>
      <c r="C551" s="1" t="s">
        <v>41</v>
      </c>
      <c r="D551" s="5">
        <v>8800.2199999999993</v>
      </c>
      <c r="E551" s="5">
        <v>9299.4</v>
      </c>
      <c r="F551" s="5" t="s">
        <v>66</v>
      </c>
      <c r="G551" s="5">
        <v>-499.18000000000029</v>
      </c>
      <c r="H551" s="5">
        <v>-5.3678731961201844</v>
      </c>
      <c r="I551" s="1" t="s">
        <v>68</v>
      </c>
    </row>
    <row r="552" spans="1:9" x14ac:dyDescent="0.45">
      <c r="A552" s="1" t="s">
        <v>8</v>
      </c>
      <c r="B552" s="1" t="s">
        <v>31</v>
      </c>
      <c r="C552" s="1" t="s">
        <v>41</v>
      </c>
      <c r="D552" s="5">
        <v>8083.54</v>
      </c>
      <c r="E552" s="5">
        <v>8574.5499999999993</v>
      </c>
      <c r="F552" s="5" t="s">
        <v>66</v>
      </c>
      <c r="G552" s="5">
        <v>-491.00999999999931</v>
      </c>
      <c r="H552" s="5">
        <v>-5.7263646488736946</v>
      </c>
      <c r="I552" s="1" t="s">
        <v>68</v>
      </c>
    </row>
    <row r="553" spans="1:9" x14ac:dyDescent="0.45">
      <c r="A553" s="1" t="s">
        <v>18</v>
      </c>
      <c r="B553" s="1" t="s">
        <v>31</v>
      </c>
      <c r="C553" s="1" t="s">
        <v>34</v>
      </c>
      <c r="D553" s="5">
        <v>13070.15</v>
      </c>
      <c r="E553" s="5">
        <v>12633.64</v>
      </c>
      <c r="F553" s="5" t="s">
        <v>66</v>
      </c>
      <c r="G553" s="5">
        <v>436.51000000000022</v>
      </c>
      <c r="H553" s="5">
        <v>3.4551404029242581</v>
      </c>
      <c r="I553" s="1" t="s">
        <v>67</v>
      </c>
    </row>
    <row r="554" spans="1:9" x14ac:dyDescent="0.45">
      <c r="A554" s="1" t="s">
        <v>12</v>
      </c>
      <c r="B554" s="1" t="s">
        <v>31</v>
      </c>
      <c r="C554" s="1" t="s">
        <v>40</v>
      </c>
      <c r="D554" s="5">
        <v>21831.35</v>
      </c>
      <c r="E554" s="5">
        <v>21405.5</v>
      </c>
      <c r="F554" s="5" t="s">
        <v>66</v>
      </c>
      <c r="G554" s="5">
        <v>425.84999999999849</v>
      </c>
      <c r="H554" s="5">
        <v>1.989441965849891</v>
      </c>
      <c r="I554" s="1" t="s">
        <v>67</v>
      </c>
    </row>
    <row r="555" spans="1:9" x14ac:dyDescent="0.45">
      <c r="A555" s="1" t="s">
        <v>15</v>
      </c>
      <c r="B555" s="1" t="s">
        <v>54</v>
      </c>
      <c r="C555" s="1" t="s">
        <v>55</v>
      </c>
      <c r="D555" s="5">
        <v>51662.21</v>
      </c>
      <c r="E555" s="5">
        <v>52086.73</v>
      </c>
      <c r="F555" s="5" t="s">
        <v>66</v>
      </c>
      <c r="G555" s="5">
        <v>-424.52000000000407</v>
      </c>
      <c r="H555" s="5">
        <v>-0.81502524731347903</v>
      </c>
      <c r="I555" s="1" t="s">
        <v>67</v>
      </c>
    </row>
    <row r="556" spans="1:9" x14ac:dyDescent="0.45">
      <c r="A556" s="1" t="s">
        <v>8</v>
      </c>
      <c r="B556" s="1" t="s">
        <v>31</v>
      </c>
      <c r="C556" s="1" t="s">
        <v>51</v>
      </c>
      <c r="D556" s="5">
        <v>31185.95</v>
      </c>
      <c r="E556" s="5">
        <v>30768.91</v>
      </c>
      <c r="F556" s="5" t="s">
        <v>66</v>
      </c>
      <c r="G556" s="5">
        <v>417.04000000000087</v>
      </c>
      <c r="H556" s="5">
        <v>1.3553941299838079</v>
      </c>
      <c r="I556" s="1" t="s">
        <v>67</v>
      </c>
    </row>
    <row r="557" spans="1:9" x14ac:dyDescent="0.45">
      <c r="A557" s="1" t="s">
        <v>10</v>
      </c>
      <c r="B557" s="1" t="s">
        <v>31</v>
      </c>
      <c r="C557" s="1" t="s">
        <v>34</v>
      </c>
      <c r="D557" s="5">
        <v>12650.05</v>
      </c>
      <c r="E557" s="5">
        <v>13066.61</v>
      </c>
      <c r="F557" s="5" t="s">
        <v>66</v>
      </c>
      <c r="G557" s="5">
        <v>-416.56000000000131</v>
      </c>
      <c r="H557" s="5">
        <v>-3.1879730090666309</v>
      </c>
      <c r="I557" s="1" t="s">
        <v>68</v>
      </c>
    </row>
    <row r="558" spans="1:9" x14ac:dyDescent="0.45">
      <c r="A558" s="1" t="s">
        <v>13</v>
      </c>
      <c r="B558" s="1" t="s">
        <v>31</v>
      </c>
      <c r="C558" s="1" t="s">
        <v>34</v>
      </c>
      <c r="D558" s="5">
        <v>12709.35</v>
      </c>
      <c r="E558" s="5">
        <v>13124.55</v>
      </c>
      <c r="F558" s="5" t="s">
        <v>66</v>
      </c>
      <c r="G558" s="5">
        <v>-415.19999999999891</v>
      </c>
      <c r="H558" s="5">
        <v>-3.1635370355554961</v>
      </c>
      <c r="I558" s="1" t="s">
        <v>68</v>
      </c>
    </row>
    <row r="559" spans="1:9" x14ac:dyDescent="0.45">
      <c r="A559" s="1" t="s">
        <v>23</v>
      </c>
      <c r="B559" s="1" t="s">
        <v>31</v>
      </c>
      <c r="C559" s="1" t="s">
        <v>40</v>
      </c>
      <c r="D559" s="5">
        <v>17068.79</v>
      </c>
      <c r="E559" s="5">
        <v>17476.66</v>
      </c>
      <c r="F559" s="5" t="s">
        <v>66</v>
      </c>
      <c r="G559" s="5">
        <v>-407.86999999999898</v>
      </c>
      <c r="H559" s="5">
        <v>-2.33379833446436</v>
      </c>
      <c r="I559" s="1" t="s">
        <v>68</v>
      </c>
    </row>
    <row r="560" spans="1:9" x14ac:dyDescent="0.45">
      <c r="A560" s="1" t="s">
        <v>19</v>
      </c>
      <c r="B560" s="1" t="s">
        <v>31</v>
      </c>
      <c r="C560" s="1" t="s">
        <v>36</v>
      </c>
      <c r="D560" s="5">
        <v>5592.75</v>
      </c>
      <c r="E560" s="5">
        <v>6000.6</v>
      </c>
      <c r="F560" s="5" t="s">
        <v>66</v>
      </c>
      <c r="G560" s="5">
        <v>-407.85000000000042</v>
      </c>
      <c r="H560" s="5">
        <v>-6.7968203179682094</v>
      </c>
      <c r="I560" s="1" t="s">
        <v>68</v>
      </c>
    </row>
    <row r="561" spans="1:9" x14ac:dyDescent="0.45">
      <c r="A561" s="1" t="s">
        <v>22</v>
      </c>
      <c r="B561" s="1" t="s">
        <v>31</v>
      </c>
      <c r="C561" s="1" t="s">
        <v>41</v>
      </c>
      <c r="D561" s="5">
        <v>9461.61</v>
      </c>
      <c r="E561" s="5">
        <v>9062.0400000000009</v>
      </c>
      <c r="F561" s="5" t="s">
        <v>66</v>
      </c>
      <c r="G561" s="5">
        <v>399.56999999999971</v>
      </c>
      <c r="H561" s="5">
        <v>4.4092720844313167</v>
      </c>
      <c r="I561" s="1" t="s">
        <v>67</v>
      </c>
    </row>
    <row r="562" spans="1:9" x14ac:dyDescent="0.45">
      <c r="A562" s="1" t="s">
        <v>19</v>
      </c>
      <c r="B562" s="1" t="s">
        <v>27</v>
      </c>
      <c r="C562" s="1" t="s">
        <v>30</v>
      </c>
      <c r="D562" s="5">
        <v>54497.45</v>
      </c>
      <c r="E562" s="5">
        <v>54896.82</v>
      </c>
      <c r="F562" s="5" t="s">
        <v>66</v>
      </c>
      <c r="G562" s="5">
        <v>-399.37000000000262</v>
      </c>
      <c r="H562" s="5">
        <v>-0.72749204780896715</v>
      </c>
      <c r="I562" s="1" t="s">
        <v>68</v>
      </c>
    </row>
    <row r="563" spans="1:9" x14ac:dyDescent="0.45">
      <c r="A563" s="1" t="s">
        <v>13</v>
      </c>
      <c r="B563" s="1" t="s">
        <v>31</v>
      </c>
      <c r="C563" s="1" t="s">
        <v>47</v>
      </c>
      <c r="D563" s="5">
        <v>91356.34</v>
      </c>
      <c r="E563" s="5">
        <v>91754.67</v>
      </c>
      <c r="F563" s="5" t="s">
        <v>66</v>
      </c>
      <c r="G563" s="5">
        <v>-398.33000000000169</v>
      </c>
      <c r="H563" s="5">
        <v>-0.43412504235479432</v>
      </c>
      <c r="I563" s="1" t="s">
        <v>68</v>
      </c>
    </row>
    <row r="564" spans="1:9" x14ac:dyDescent="0.45">
      <c r="A564" s="1" t="s">
        <v>26</v>
      </c>
      <c r="B564" s="1" t="s">
        <v>31</v>
      </c>
      <c r="C564" s="1" t="s">
        <v>41</v>
      </c>
      <c r="D564" s="5">
        <v>9634.91</v>
      </c>
      <c r="E564" s="5">
        <v>10030.290000000001</v>
      </c>
      <c r="F564" s="5" t="s">
        <v>66</v>
      </c>
      <c r="G564" s="5">
        <v>-395.38000000000102</v>
      </c>
      <c r="H564" s="5">
        <v>-3.9418601057397238</v>
      </c>
      <c r="I564" s="1" t="s">
        <v>68</v>
      </c>
    </row>
    <row r="565" spans="1:9" x14ac:dyDescent="0.45">
      <c r="A565" s="1" t="s">
        <v>21</v>
      </c>
      <c r="B565" s="1" t="s">
        <v>31</v>
      </c>
      <c r="C565" s="1" t="s">
        <v>40</v>
      </c>
      <c r="D565" s="5">
        <v>21334.66</v>
      </c>
      <c r="E565" s="5">
        <v>21727.32</v>
      </c>
      <c r="F565" s="5" t="s">
        <v>66</v>
      </c>
      <c r="G565" s="5">
        <v>-392.65999999999991</v>
      </c>
      <c r="H565" s="5">
        <v>-1.807217825300129</v>
      </c>
      <c r="I565" s="1" t="s">
        <v>68</v>
      </c>
    </row>
    <row r="566" spans="1:9" x14ac:dyDescent="0.45">
      <c r="A566" s="1" t="s">
        <v>17</v>
      </c>
      <c r="B566" s="1" t="s">
        <v>31</v>
      </c>
      <c r="C566" s="1" t="s">
        <v>47</v>
      </c>
      <c r="D566" s="5">
        <v>84059.77</v>
      </c>
      <c r="E566" s="5">
        <v>84447.17</v>
      </c>
      <c r="F566" s="5" t="s">
        <v>66</v>
      </c>
      <c r="G566" s="5">
        <v>-387.39999999999418</v>
      </c>
      <c r="H566" s="5">
        <v>-0.45874835118807911</v>
      </c>
      <c r="I566" s="1" t="s">
        <v>68</v>
      </c>
    </row>
    <row r="567" spans="1:9" x14ac:dyDescent="0.45">
      <c r="A567" s="1" t="s">
        <v>25</v>
      </c>
      <c r="B567" s="1" t="s">
        <v>31</v>
      </c>
      <c r="C567" s="1" t="s">
        <v>36</v>
      </c>
      <c r="D567" s="5">
        <v>5276.66</v>
      </c>
      <c r="E567" s="5">
        <v>4889.66</v>
      </c>
      <c r="F567" s="5" t="s">
        <v>66</v>
      </c>
      <c r="G567" s="5">
        <v>387</v>
      </c>
      <c r="H567" s="5">
        <v>7.9146607330571053</v>
      </c>
      <c r="I567" s="1" t="s">
        <v>67</v>
      </c>
    </row>
    <row r="568" spans="1:9" x14ac:dyDescent="0.45">
      <c r="A568" s="1" t="s">
        <v>21</v>
      </c>
      <c r="B568" s="1" t="s">
        <v>31</v>
      </c>
      <c r="C568" s="1" t="s">
        <v>34</v>
      </c>
      <c r="D568" s="5">
        <v>12905.33</v>
      </c>
      <c r="E568" s="5">
        <v>13283.73</v>
      </c>
      <c r="F568" s="5" t="s">
        <v>66</v>
      </c>
      <c r="G568" s="5">
        <v>-378.39999999999958</v>
      </c>
      <c r="H568" s="5">
        <v>-2.8485974948301389</v>
      </c>
      <c r="I568" s="1" t="s">
        <v>68</v>
      </c>
    </row>
    <row r="569" spans="1:9" x14ac:dyDescent="0.45">
      <c r="A569" s="1" t="s">
        <v>16</v>
      </c>
      <c r="B569" s="1" t="s">
        <v>31</v>
      </c>
      <c r="C569" s="1" t="s">
        <v>36</v>
      </c>
      <c r="D569" s="5">
        <v>5696.07</v>
      </c>
      <c r="E569" s="5">
        <v>5333.26</v>
      </c>
      <c r="F569" s="5" t="s">
        <v>66</v>
      </c>
      <c r="G569" s="5">
        <v>362.80999999999949</v>
      </c>
      <c r="H569" s="5">
        <v>6.8027810382392646</v>
      </c>
      <c r="I569" s="1" t="s">
        <v>67</v>
      </c>
    </row>
    <row r="570" spans="1:9" x14ac:dyDescent="0.45">
      <c r="A570" s="1" t="s">
        <v>23</v>
      </c>
      <c r="B570" s="1" t="s">
        <v>31</v>
      </c>
      <c r="C570" s="1" t="s">
        <v>36</v>
      </c>
      <c r="D570" s="5">
        <v>6459.46</v>
      </c>
      <c r="E570" s="5">
        <v>6099.73</v>
      </c>
      <c r="F570" s="5" t="s">
        <v>66</v>
      </c>
      <c r="G570" s="5">
        <v>359.73000000000047</v>
      </c>
      <c r="H570" s="5">
        <v>5.897474150495194</v>
      </c>
      <c r="I570" s="1" t="s">
        <v>67</v>
      </c>
    </row>
    <row r="571" spans="1:9" x14ac:dyDescent="0.45">
      <c r="A571" s="1" t="s">
        <v>9</v>
      </c>
      <c r="B571" s="1" t="s">
        <v>31</v>
      </c>
      <c r="C571" s="1" t="s">
        <v>47</v>
      </c>
      <c r="D571" s="5">
        <v>91488.83</v>
      </c>
      <c r="E571" s="5">
        <v>91138.25</v>
      </c>
      <c r="F571" s="5" t="s">
        <v>66</v>
      </c>
      <c r="G571" s="5">
        <v>350.58000000000169</v>
      </c>
      <c r="H571" s="5">
        <v>0.38466834726363708</v>
      </c>
      <c r="I571" s="1" t="s">
        <v>67</v>
      </c>
    </row>
    <row r="572" spans="1:9" x14ac:dyDescent="0.45">
      <c r="A572" s="1" t="s">
        <v>11</v>
      </c>
      <c r="B572" s="1" t="s">
        <v>31</v>
      </c>
      <c r="C572" s="1" t="s">
        <v>41</v>
      </c>
      <c r="D572" s="5">
        <v>9056.9</v>
      </c>
      <c r="E572" s="5">
        <v>9397.2800000000007</v>
      </c>
      <c r="F572" s="5" t="s">
        <v>66</v>
      </c>
      <c r="G572" s="5">
        <v>-340.38000000000102</v>
      </c>
      <c r="H572" s="5">
        <v>-3.6221119302606821</v>
      </c>
      <c r="I572" s="1" t="s">
        <v>68</v>
      </c>
    </row>
    <row r="573" spans="1:9" x14ac:dyDescent="0.45">
      <c r="A573" s="1" t="s">
        <v>12</v>
      </c>
      <c r="B573" s="1" t="s">
        <v>31</v>
      </c>
      <c r="C573" s="1" t="s">
        <v>39</v>
      </c>
      <c r="D573" s="5">
        <v>15278.25</v>
      </c>
      <c r="E573" s="5">
        <v>14945.59</v>
      </c>
      <c r="F573" s="5" t="s">
        <v>66</v>
      </c>
      <c r="G573" s="5">
        <v>332.65999999999991</v>
      </c>
      <c r="H573" s="5">
        <v>2.22580707753926</v>
      </c>
      <c r="I573" s="1" t="s">
        <v>67</v>
      </c>
    </row>
    <row r="574" spans="1:9" x14ac:dyDescent="0.45">
      <c r="A574" s="1" t="s">
        <v>18</v>
      </c>
      <c r="B574" s="1" t="s">
        <v>31</v>
      </c>
      <c r="C574" s="1" t="s">
        <v>43</v>
      </c>
      <c r="D574" s="5">
        <v>40873.9</v>
      </c>
      <c r="E574" s="5">
        <v>40542.89</v>
      </c>
      <c r="F574" s="5" t="s">
        <v>66</v>
      </c>
      <c r="G574" s="5">
        <v>331.01000000000198</v>
      </c>
      <c r="H574" s="5">
        <v>0.8164440176810337</v>
      </c>
      <c r="I574" s="1" t="s">
        <v>67</v>
      </c>
    </row>
    <row r="575" spans="1:9" x14ac:dyDescent="0.45">
      <c r="A575" s="1" t="s">
        <v>26</v>
      </c>
      <c r="B575" s="1" t="s">
        <v>31</v>
      </c>
      <c r="C575" s="1" t="s">
        <v>36</v>
      </c>
      <c r="D575" s="5">
        <v>5230.0600000000004</v>
      </c>
      <c r="E575" s="5">
        <v>4909.09</v>
      </c>
      <c r="F575" s="5" t="s">
        <v>66</v>
      </c>
      <c r="G575" s="5">
        <v>320.97000000000031</v>
      </c>
      <c r="H575" s="5">
        <v>6.5382789885701884</v>
      </c>
      <c r="I575" s="1" t="s">
        <v>67</v>
      </c>
    </row>
    <row r="576" spans="1:9" x14ac:dyDescent="0.45">
      <c r="A576" s="1" t="s">
        <v>17</v>
      </c>
      <c r="B576" s="1" t="s">
        <v>31</v>
      </c>
      <c r="C576" s="1" t="s">
        <v>52</v>
      </c>
      <c r="D576" s="5">
        <v>92798.33</v>
      </c>
      <c r="E576" s="5">
        <v>93111.96</v>
      </c>
      <c r="F576" s="5" t="s">
        <v>66</v>
      </c>
      <c r="G576" s="5">
        <v>-313.63000000000471</v>
      </c>
      <c r="H576" s="5">
        <v>-0.33683105800802032</v>
      </c>
      <c r="I576" s="1" t="s">
        <v>68</v>
      </c>
    </row>
    <row r="577" spans="1:9" x14ac:dyDescent="0.45">
      <c r="A577" s="1" t="s">
        <v>10</v>
      </c>
      <c r="B577" s="1" t="s">
        <v>31</v>
      </c>
      <c r="C577" s="1" t="s">
        <v>37</v>
      </c>
      <c r="D577" s="5">
        <v>26727.45</v>
      </c>
      <c r="E577" s="5">
        <v>26426.29</v>
      </c>
      <c r="F577" s="5" t="s">
        <v>66</v>
      </c>
      <c r="G577" s="5">
        <v>301.15999999999991</v>
      </c>
      <c r="H577" s="5">
        <v>1.1396227014840139</v>
      </c>
      <c r="I577" s="1" t="s">
        <v>67</v>
      </c>
    </row>
    <row r="578" spans="1:9" x14ac:dyDescent="0.45">
      <c r="A578" s="1" t="s">
        <v>16</v>
      </c>
      <c r="B578" s="1" t="s">
        <v>31</v>
      </c>
      <c r="C578" s="1" t="s">
        <v>41</v>
      </c>
      <c r="D578" s="5">
        <v>8709.09</v>
      </c>
      <c r="E578" s="5">
        <v>9006.9699999999993</v>
      </c>
      <c r="F578" s="5" t="s">
        <v>66</v>
      </c>
      <c r="G578" s="5">
        <v>-297.8799999999992</v>
      </c>
      <c r="H578" s="5">
        <v>-3.3072165223154868</v>
      </c>
      <c r="I578" s="1" t="s">
        <v>68</v>
      </c>
    </row>
    <row r="579" spans="1:9" x14ac:dyDescent="0.45">
      <c r="A579" s="1" t="s">
        <v>8</v>
      </c>
      <c r="B579" s="1" t="s">
        <v>31</v>
      </c>
      <c r="C579" s="1" t="s">
        <v>36</v>
      </c>
      <c r="D579" s="5">
        <v>6076.41</v>
      </c>
      <c r="E579" s="5">
        <v>6368.93</v>
      </c>
      <c r="F579" s="5" t="s">
        <v>66</v>
      </c>
      <c r="G579" s="5">
        <v>-292.52000000000038</v>
      </c>
      <c r="H579" s="5">
        <v>-4.5929222020025406</v>
      </c>
      <c r="I579" s="1" t="s">
        <v>68</v>
      </c>
    </row>
    <row r="580" spans="1:9" x14ac:dyDescent="0.45">
      <c r="A580" s="1" t="s">
        <v>22</v>
      </c>
      <c r="B580" s="1" t="s">
        <v>27</v>
      </c>
      <c r="C580" s="1" t="s">
        <v>29</v>
      </c>
      <c r="D580" s="5">
        <v>189704.6</v>
      </c>
      <c r="E580" s="5">
        <v>189974.97</v>
      </c>
      <c r="F580" s="5" t="s">
        <v>66</v>
      </c>
      <c r="G580" s="5">
        <v>-270.36999999999529</v>
      </c>
      <c r="H580" s="5">
        <v>-0.14231874862251351</v>
      </c>
      <c r="I580" s="1" t="s">
        <v>68</v>
      </c>
    </row>
    <row r="581" spans="1:9" x14ac:dyDescent="0.45">
      <c r="A581" s="1" t="s">
        <v>17</v>
      </c>
      <c r="B581" s="1" t="s">
        <v>31</v>
      </c>
      <c r="C581" s="1" t="s">
        <v>37</v>
      </c>
      <c r="D581" s="5">
        <v>24020.16</v>
      </c>
      <c r="E581" s="5">
        <v>24285.119999999999</v>
      </c>
      <c r="F581" s="5" t="s">
        <v>66</v>
      </c>
      <c r="G581" s="5">
        <v>-264.95999999999913</v>
      </c>
      <c r="H581" s="5">
        <v>-1.091038463058857</v>
      </c>
      <c r="I581" s="1" t="s">
        <v>68</v>
      </c>
    </row>
    <row r="582" spans="1:9" x14ac:dyDescent="0.45">
      <c r="A582" s="1" t="s">
        <v>15</v>
      </c>
      <c r="B582" s="1" t="s">
        <v>31</v>
      </c>
      <c r="C582" s="1" t="s">
        <v>33</v>
      </c>
      <c r="D582" s="5">
        <v>23232.57</v>
      </c>
      <c r="E582" s="5">
        <v>22967.82</v>
      </c>
      <c r="F582" s="5" t="s">
        <v>66</v>
      </c>
      <c r="G582" s="5">
        <v>264.75</v>
      </c>
      <c r="H582" s="5">
        <v>1.1526997338014671</v>
      </c>
      <c r="I582" s="1" t="s">
        <v>67</v>
      </c>
    </row>
    <row r="583" spans="1:9" x14ac:dyDescent="0.45">
      <c r="A583" s="1" t="s">
        <v>20</v>
      </c>
      <c r="B583" s="1" t="s">
        <v>31</v>
      </c>
      <c r="C583" s="1" t="s">
        <v>53</v>
      </c>
      <c r="D583" s="5">
        <v>38426.449999999997</v>
      </c>
      <c r="E583" s="5">
        <v>38663.53</v>
      </c>
      <c r="F583" s="5" t="s">
        <v>66</v>
      </c>
      <c r="G583" s="5">
        <v>-237.08000000000169</v>
      </c>
      <c r="H583" s="5">
        <v>-0.61318767324142864</v>
      </c>
      <c r="I583" s="1" t="s">
        <v>68</v>
      </c>
    </row>
    <row r="584" spans="1:9" x14ac:dyDescent="0.45">
      <c r="A584" s="1" t="s">
        <v>21</v>
      </c>
      <c r="B584" s="1" t="s">
        <v>31</v>
      </c>
      <c r="C584" s="1" t="s">
        <v>41</v>
      </c>
      <c r="D584" s="5">
        <v>7972.49</v>
      </c>
      <c r="E584" s="5">
        <v>8198.3799999999992</v>
      </c>
      <c r="F584" s="5" t="s">
        <v>66</v>
      </c>
      <c r="G584" s="5">
        <v>-225.88999999999939</v>
      </c>
      <c r="H584" s="5">
        <v>-2.7553004374034802</v>
      </c>
      <c r="I584" s="1" t="s">
        <v>68</v>
      </c>
    </row>
    <row r="585" spans="1:9" x14ac:dyDescent="0.45">
      <c r="A585" s="1" t="s">
        <v>16</v>
      </c>
      <c r="B585" s="1" t="s">
        <v>31</v>
      </c>
      <c r="C585" s="1" t="s">
        <v>40</v>
      </c>
      <c r="D585" s="5">
        <v>22859</v>
      </c>
      <c r="E585" s="5">
        <v>23079.59</v>
      </c>
      <c r="F585" s="5" t="s">
        <v>66</v>
      </c>
      <c r="G585" s="5">
        <v>-220.59000000000009</v>
      </c>
      <c r="H585" s="5">
        <v>-0.95577954374406193</v>
      </c>
      <c r="I585" s="1" t="s">
        <v>68</v>
      </c>
    </row>
    <row r="586" spans="1:9" x14ac:dyDescent="0.45">
      <c r="A586" s="1" t="s">
        <v>10</v>
      </c>
      <c r="B586" s="1" t="s">
        <v>31</v>
      </c>
      <c r="C586" s="1" t="s">
        <v>36</v>
      </c>
      <c r="D586" s="5">
        <v>5508.38</v>
      </c>
      <c r="E586" s="5">
        <v>5314.26</v>
      </c>
      <c r="F586" s="5" t="s">
        <v>66</v>
      </c>
      <c r="G586" s="5">
        <v>194.11999999999989</v>
      </c>
      <c r="H586" s="5">
        <v>3.6528133738281512</v>
      </c>
      <c r="I586" s="1" t="s">
        <v>67</v>
      </c>
    </row>
    <row r="587" spans="1:9" x14ac:dyDescent="0.45">
      <c r="A587" s="1" t="s">
        <v>17</v>
      </c>
      <c r="B587" s="1" t="s">
        <v>31</v>
      </c>
      <c r="C587" s="1" t="s">
        <v>41</v>
      </c>
      <c r="D587" s="5">
        <v>9297.5499999999993</v>
      </c>
      <c r="E587" s="5">
        <v>9109.2199999999993</v>
      </c>
      <c r="F587" s="5" t="s">
        <v>66</v>
      </c>
      <c r="G587" s="5">
        <v>188.3299999999999</v>
      </c>
      <c r="H587" s="5">
        <v>2.0674657105657781</v>
      </c>
      <c r="I587" s="1" t="s">
        <v>67</v>
      </c>
    </row>
    <row r="588" spans="1:9" x14ac:dyDescent="0.45">
      <c r="A588" s="1" t="s">
        <v>20</v>
      </c>
      <c r="B588" s="1" t="s">
        <v>31</v>
      </c>
      <c r="C588" s="1" t="s">
        <v>36</v>
      </c>
      <c r="D588" s="5">
        <v>6016.26</v>
      </c>
      <c r="E588" s="5">
        <v>6202.33</v>
      </c>
      <c r="F588" s="5" t="s">
        <v>66</v>
      </c>
      <c r="G588" s="5">
        <v>-186.06999999999971</v>
      </c>
      <c r="H588" s="5">
        <v>-3.000001612297309</v>
      </c>
      <c r="I588" s="1" t="s">
        <v>68</v>
      </c>
    </row>
    <row r="589" spans="1:9" x14ac:dyDescent="0.45">
      <c r="A589" s="1" t="s">
        <v>7</v>
      </c>
      <c r="B589" s="1" t="s">
        <v>31</v>
      </c>
      <c r="C589" s="1" t="s">
        <v>37</v>
      </c>
      <c r="D589" s="5">
        <v>28746.34</v>
      </c>
      <c r="E589" s="5">
        <v>28602.13</v>
      </c>
      <c r="F589" s="5" t="s">
        <v>66</v>
      </c>
      <c r="G589" s="5">
        <v>144.2099999999991</v>
      </c>
      <c r="H589" s="5">
        <v>0.50419321917633098</v>
      </c>
      <c r="I589" s="1" t="s">
        <v>67</v>
      </c>
    </row>
    <row r="590" spans="1:9" x14ac:dyDescent="0.45">
      <c r="A590" s="1" t="s">
        <v>12</v>
      </c>
      <c r="B590" s="1" t="s">
        <v>31</v>
      </c>
      <c r="C590" s="1" t="s">
        <v>36</v>
      </c>
      <c r="D590" s="5">
        <v>5079.03</v>
      </c>
      <c r="E590" s="5">
        <v>4940.29</v>
      </c>
      <c r="F590" s="5" t="s">
        <v>66</v>
      </c>
      <c r="G590" s="5">
        <v>138.73999999999981</v>
      </c>
      <c r="H590" s="5">
        <v>2.808337162393296</v>
      </c>
      <c r="I590" s="1" t="s">
        <v>67</v>
      </c>
    </row>
    <row r="591" spans="1:9" x14ac:dyDescent="0.45">
      <c r="A591" s="1" t="s">
        <v>16</v>
      </c>
      <c r="B591" s="1" t="s">
        <v>27</v>
      </c>
      <c r="C591" s="1" t="s">
        <v>30</v>
      </c>
      <c r="D591" s="5">
        <v>47095.69</v>
      </c>
      <c r="E591" s="5">
        <v>46999.32</v>
      </c>
      <c r="F591" s="5" t="s">
        <v>66</v>
      </c>
      <c r="G591" s="5">
        <v>96.370000000002619</v>
      </c>
      <c r="H591" s="5">
        <v>0.20504551980752619</v>
      </c>
      <c r="I591" s="1" t="s">
        <v>67</v>
      </c>
    </row>
    <row r="592" spans="1:9" x14ac:dyDescent="0.45">
      <c r="A592" s="1" t="s">
        <v>8</v>
      </c>
      <c r="B592" s="1" t="s">
        <v>31</v>
      </c>
      <c r="C592" s="1" t="s">
        <v>52</v>
      </c>
      <c r="D592" s="5">
        <v>96289.18</v>
      </c>
      <c r="E592" s="5">
        <v>96385.37</v>
      </c>
      <c r="F592" s="5" t="s">
        <v>66</v>
      </c>
      <c r="G592" s="5">
        <v>-96.190000000002328</v>
      </c>
      <c r="H592" s="5">
        <v>-9.9797303262935372E-2</v>
      </c>
      <c r="I592" s="1" t="s">
        <v>68</v>
      </c>
    </row>
    <row r="593" spans="1:9" x14ac:dyDescent="0.45">
      <c r="A593" s="1" t="s">
        <v>16</v>
      </c>
      <c r="B593" s="1" t="s">
        <v>31</v>
      </c>
      <c r="C593" s="1" t="s">
        <v>34</v>
      </c>
      <c r="D593" s="5">
        <v>12719.42</v>
      </c>
      <c r="E593" s="5">
        <v>12810.97</v>
      </c>
      <c r="F593" s="5" t="s">
        <v>66</v>
      </c>
      <c r="G593" s="5">
        <v>-91.549999999999272</v>
      </c>
      <c r="H593" s="5">
        <v>-0.71462192168117855</v>
      </c>
      <c r="I593" s="1" t="s">
        <v>68</v>
      </c>
    </row>
    <row r="594" spans="1:9" x14ac:dyDescent="0.45">
      <c r="A594" s="1" t="s">
        <v>18</v>
      </c>
      <c r="B594" s="1" t="s">
        <v>31</v>
      </c>
      <c r="C594" s="1" t="s">
        <v>36</v>
      </c>
      <c r="D594" s="5">
        <v>4435.4399999999996</v>
      </c>
      <c r="E594" s="5">
        <v>4523.99</v>
      </c>
      <c r="F594" s="5" t="s">
        <v>66</v>
      </c>
      <c r="G594" s="5">
        <v>-88.550000000000182</v>
      </c>
      <c r="H594" s="5">
        <v>-1.957342964949087</v>
      </c>
      <c r="I594" s="1" t="s">
        <v>68</v>
      </c>
    </row>
    <row r="595" spans="1:9" x14ac:dyDescent="0.45">
      <c r="A595" s="1" t="s">
        <v>6</v>
      </c>
      <c r="B595" s="1" t="s">
        <v>31</v>
      </c>
      <c r="C595" s="1" t="s">
        <v>48</v>
      </c>
      <c r="D595" s="5">
        <v>106871.62</v>
      </c>
      <c r="E595" s="5">
        <v>106786.45</v>
      </c>
      <c r="F595" s="5" t="s">
        <v>66</v>
      </c>
      <c r="G595" s="5">
        <v>85.169999999998254</v>
      </c>
      <c r="H595" s="5">
        <v>7.9757310033246959E-2</v>
      </c>
      <c r="I595" s="1" t="s">
        <v>67</v>
      </c>
    </row>
    <row r="596" spans="1:9" x14ac:dyDescent="0.45">
      <c r="A596" s="1" t="s">
        <v>20</v>
      </c>
      <c r="B596" s="1" t="s">
        <v>31</v>
      </c>
      <c r="C596" s="1" t="s">
        <v>34</v>
      </c>
      <c r="D596" s="5">
        <v>12942.07</v>
      </c>
      <c r="E596" s="5">
        <v>13010.37</v>
      </c>
      <c r="F596" s="5" t="s">
        <v>66</v>
      </c>
      <c r="G596" s="5">
        <v>-68.300000000001091</v>
      </c>
      <c r="H596" s="5">
        <v>-0.52496585416095842</v>
      </c>
      <c r="I596" s="1" t="s">
        <v>68</v>
      </c>
    </row>
    <row r="597" spans="1:9" x14ac:dyDescent="0.45">
      <c r="A597" s="1" t="s">
        <v>5</v>
      </c>
      <c r="B597" s="1" t="s">
        <v>31</v>
      </c>
      <c r="C597" s="1" t="s">
        <v>36</v>
      </c>
      <c r="D597" s="5">
        <v>5943.7</v>
      </c>
      <c r="E597" s="5">
        <v>5877.65</v>
      </c>
      <c r="F597" s="5" t="s">
        <v>66</v>
      </c>
      <c r="G597" s="5">
        <v>66.050000000000182</v>
      </c>
      <c r="H597" s="5">
        <v>1.123748436875285</v>
      </c>
      <c r="I597" s="1" t="s">
        <v>67</v>
      </c>
    </row>
    <row r="598" spans="1:9" x14ac:dyDescent="0.45">
      <c r="A598" s="1" t="s">
        <v>22</v>
      </c>
      <c r="B598" s="1" t="s">
        <v>31</v>
      </c>
      <c r="C598" s="1" t="s">
        <v>53</v>
      </c>
      <c r="D598" s="5">
        <v>47306.239999999998</v>
      </c>
      <c r="E598" s="5">
        <v>47254.67</v>
      </c>
      <c r="F598" s="5" t="s">
        <v>66</v>
      </c>
      <c r="G598" s="5">
        <v>51.569999999999709</v>
      </c>
      <c r="H598" s="5">
        <v>0.1091320709678</v>
      </c>
      <c r="I598" s="1" t="s">
        <v>67</v>
      </c>
    </row>
    <row r="599" spans="1:9" x14ac:dyDescent="0.45">
      <c r="A599" s="1" t="s">
        <v>7</v>
      </c>
      <c r="B599" s="1" t="s">
        <v>31</v>
      </c>
      <c r="C599" s="1" t="s">
        <v>39</v>
      </c>
      <c r="D599" s="5">
        <v>18299.16</v>
      </c>
      <c r="E599" s="5">
        <v>18249.73</v>
      </c>
      <c r="F599" s="5" t="s">
        <v>66</v>
      </c>
      <c r="G599" s="5">
        <v>49.430000000000291</v>
      </c>
      <c r="H599" s="5">
        <v>0.27085332221353581</v>
      </c>
      <c r="I599" s="1" t="s">
        <v>67</v>
      </c>
    </row>
    <row r="600" spans="1:9" x14ac:dyDescent="0.45">
      <c r="A600" s="1" t="s">
        <v>25</v>
      </c>
      <c r="B600" s="1" t="s">
        <v>31</v>
      </c>
      <c r="C600" s="1" t="s">
        <v>41</v>
      </c>
      <c r="D600" s="5">
        <v>9536.83</v>
      </c>
      <c r="E600" s="5">
        <v>9496.9</v>
      </c>
      <c r="F600" s="5" t="s">
        <v>66</v>
      </c>
      <c r="G600" s="5">
        <v>39.930000000000291</v>
      </c>
      <c r="H600" s="5">
        <v>0.4204529899230306</v>
      </c>
      <c r="I600" s="1" t="s">
        <v>67</v>
      </c>
    </row>
    <row r="601" spans="1:9" x14ac:dyDescent="0.45">
      <c r="A601" s="1" t="s">
        <v>16</v>
      </c>
      <c r="B601" s="1" t="s">
        <v>31</v>
      </c>
      <c r="C601" s="1" t="s">
        <v>33</v>
      </c>
      <c r="D601" s="5">
        <v>23224.3</v>
      </c>
      <c r="E601" s="5">
        <v>23209.61</v>
      </c>
      <c r="F601" s="5" t="s">
        <v>66</v>
      </c>
      <c r="G601" s="5">
        <v>14.68999999999869</v>
      </c>
      <c r="H601" s="5">
        <v>6.3292748133202972E-2</v>
      </c>
      <c r="I601" s="1" t="s">
        <v>67</v>
      </c>
    </row>
  </sheetData>
  <autoFilter ref="A1:I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"/>
  <sheetViews>
    <sheetView workbookViewId="0">
      <selection activeCell="C16" sqref="C16"/>
    </sheetView>
  </sheetViews>
  <sheetFormatPr defaultRowHeight="14.25" x14ac:dyDescent="0.45"/>
  <cols>
    <col min="1" max="1" width="22.3984375" bestFit="1" customWidth="1"/>
  </cols>
  <sheetData>
    <row r="1" spans="1:25" x14ac:dyDescent="0.45">
      <c r="A1" s="3" t="s">
        <v>69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</row>
    <row r="2" spans="1:25" x14ac:dyDescent="0.45">
      <c r="A2" s="7" t="s">
        <v>54</v>
      </c>
      <c r="B2">
        <v>922776.8600000001</v>
      </c>
      <c r="C2">
        <v>985733.89999999991</v>
      </c>
      <c r="D2">
        <v>1066652.28</v>
      </c>
      <c r="E2">
        <v>1074975.73</v>
      </c>
      <c r="F2">
        <v>1054921.97</v>
      </c>
      <c r="G2">
        <v>1155010.05</v>
      </c>
      <c r="H2">
        <v>1167007.03</v>
      </c>
      <c r="I2">
        <v>1185347.1100000001</v>
      </c>
      <c r="J2">
        <v>1181847.22</v>
      </c>
      <c r="K2">
        <v>1215234.77</v>
      </c>
      <c r="L2">
        <v>1342120.78</v>
      </c>
      <c r="M2">
        <v>1484892.61</v>
      </c>
      <c r="N2">
        <v>1201452.8700000001</v>
      </c>
      <c r="O2">
        <v>1163190.8500000001</v>
      </c>
      <c r="P2">
        <v>1278224.02</v>
      </c>
      <c r="Q2">
        <v>1302998.29</v>
      </c>
      <c r="R2">
        <v>1341964.8500000001</v>
      </c>
      <c r="S2">
        <v>1498906.23</v>
      </c>
      <c r="T2">
        <v>1515819.04</v>
      </c>
      <c r="U2">
        <v>1419521.67</v>
      </c>
      <c r="V2">
        <v>1486650.48</v>
      </c>
      <c r="W2">
        <v>1455735.43</v>
      </c>
      <c r="X2">
        <v>1730605.9</v>
      </c>
      <c r="Y2">
        <v>1775728.02</v>
      </c>
    </row>
    <row r="3" spans="1:25" x14ac:dyDescent="0.45">
      <c r="A3" s="7" t="s">
        <v>27</v>
      </c>
      <c r="B3">
        <v>390153.29</v>
      </c>
      <c r="C3">
        <v>432992.29</v>
      </c>
      <c r="D3">
        <v>437310.03</v>
      </c>
      <c r="E3">
        <v>457629.77</v>
      </c>
      <c r="F3">
        <v>453216.34</v>
      </c>
      <c r="G3">
        <v>464686.56000000011</v>
      </c>
      <c r="H3">
        <v>502253.27000000008</v>
      </c>
      <c r="I3">
        <v>484245.36</v>
      </c>
      <c r="J3">
        <v>476582.93</v>
      </c>
      <c r="K3">
        <v>543749.84</v>
      </c>
      <c r="L3">
        <v>601648.06000000006</v>
      </c>
      <c r="M3">
        <v>653976.19999999995</v>
      </c>
      <c r="N3">
        <v>498880.1</v>
      </c>
      <c r="O3">
        <v>470956.9</v>
      </c>
      <c r="P3">
        <v>555019.77</v>
      </c>
      <c r="Q3">
        <v>549875.21</v>
      </c>
      <c r="R3">
        <v>544974.49</v>
      </c>
      <c r="S3">
        <v>636673.68000000005</v>
      </c>
      <c r="T3">
        <v>608933.96000000008</v>
      </c>
      <c r="U3">
        <v>632348.67000000004</v>
      </c>
      <c r="V3">
        <v>613895.97</v>
      </c>
      <c r="W3">
        <v>630517.02999999991</v>
      </c>
      <c r="X3">
        <v>719214.81</v>
      </c>
      <c r="Y3">
        <v>756466.18</v>
      </c>
    </row>
    <row r="4" spans="1:25" x14ac:dyDescent="0.45">
      <c r="A4" s="7" t="s">
        <v>70</v>
      </c>
      <c r="B4">
        <v>532623.57000000007</v>
      </c>
      <c r="C4">
        <v>552741.60999999987</v>
      </c>
      <c r="D4">
        <v>629342.24999999977</v>
      </c>
      <c r="E4">
        <v>617345.96</v>
      </c>
      <c r="F4">
        <v>601705.63</v>
      </c>
      <c r="G4">
        <v>690323.49</v>
      </c>
      <c r="H4">
        <v>664753.76</v>
      </c>
      <c r="I4">
        <v>701101.75000000012</v>
      </c>
      <c r="J4">
        <v>705264.29</v>
      </c>
      <c r="K4">
        <v>671484.93</v>
      </c>
      <c r="L4">
        <v>740472.7200000002</v>
      </c>
      <c r="M4">
        <v>830916.41000000015</v>
      </c>
      <c r="N4">
        <v>702572.77000000014</v>
      </c>
      <c r="O4">
        <v>692233.94999999984</v>
      </c>
      <c r="P4">
        <v>723204.24999999977</v>
      </c>
      <c r="Q4">
        <v>753123.08000000007</v>
      </c>
      <c r="R4">
        <v>796990.3600000001</v>
      </c>
      <c r="S4">
        <v>862232.54999999993</v>
      </c>
      <c r="T4">
        <v>906885.08</v>
      </c>
      <c r="U4">
        <v>787172.99999999988</v>
      </c>
      <c r="V4">
        <v>872754.51</v>
      </c>
      <c r="W4">
        <v>825218.4</v>
      </c>
      <c r="X4">
        <v>1011391.09</v>
      </c>
      <c r="Y4">
        <v>1019261.84</v>
      </c>
    </row>
    <row r="5" spans="1:25" x14ac:dyDescent="0.45">
      <c r="A5" s="7" t="s">
        <v>71</v>
      </c>
      <c r="B5">
        <v>57.719649580289648</v>
      </c>
      <c r="C5">
        <v>56.074120003380223</v>
      </c>
      <c r="D5">
        <v>59.001631722007843</v>
      </c>
      <c r="E5">
        <v>57.428827718743001</v>
      </c>
      <c r="F5">
        <v>57.037927648809891</v>
      </c>
      <c r="G5">
        <v>59.767747475444047</v>
      </c>
      <c r="H5">
        <v>56.962275540019668</v>
      </c>
      <c r="I5">
        <v>59.147379201017337</v>
      </c>
      <c r="J5">
        <v>59.674742899509468</v>
      </c>
      <c r="K5">
        <v>55.255572550808438</v>
      </c>
      <c r="L5">
        <v>55.171839303464189</v>
      </c>
      <c r="M5">
        <v>55.958013690969892</v>
      </c>
      <c r="N5">
        <v>58.47693135062385</v>
      </c>
      <c r="O5">
        <v>59.511639899849619</v>
      </c>
      <c r="P5">
        <v>56.578834279768877</v>
      </c>
      <c r="Q5">
        <v>57.799237787180843</v>
      </c>
      <c r="R5">
        <v>59.389808905948613</v>
      </c>
      <c r="S5">
        <v>57.524115434492508</v>
      </c>
      <c r="T5">
        <v>59.828057048287242</v>
      </c>
      <c r="U5">
        <v>55.45339790409821</v>
      </c>
      <c r="V5">
        <v>58.706099499594558</v>
      </c>
      <c r="W5">
        <v>56.687388586812112</v>
      </c>
      <c r="X5">
        <v>58.441444698645718</v>
      </c>
      <c r="Y5">
        <v>57.399659661843927</v>
      </c>
    </row>
    <row r="6" spans="1:25" x14ac:dyDescent="0.45">
      <c r="A6" s="7" t="s">
        <v>72</v>
      </c>
      <c r="B6">
        <v>1009604.69</v>
      </c>
      <c r="C6">
        <v>998051.36</v>
      </c>
      <c r="D6">
        <v>1008694.2</v>
      </c>
      <c r="E6">
        <v>1053414.6599999999</v>
      </c>
      <c r="F6">
        <v>1014095.79</v>
      </c>
      <c r="G6">
        <v>1113061.17</v>
      </c>
      <c r="H6">
        <v>1058907.72</v>
      </c>
      <c r="I6">
        <v>1095707.76</v>
      </c>
      <c r="J6">
        <v>1082865.6299999999</v>
      </c>
      <c r="K6">
        <v>1049625.28</v>
      </c>
      <c r="L6">
        <v>1058000.26</v>
      </c>
      <c r="M6">
        <v>1135179.1599999999</v>
      </c>
      <c r="N6">
        <v>1125812.67</v>
      </c>
      <c r="O6">
        <v>1083920.19</v>
      </c>
      <c r="P6">
        <v>1043376.55</v>
      </c>
      <c r="Q6">
        <v>1139799.8600000001</v>
      </c>
      <c r="R6">
        <v>997243.89999999991</v>
      </c>
      <c r="S6">
        <v>1068485.98</v>
      </c>
      <c r="T6">
        <v>1068500.68</v>
      </c>
      <c r="U6">
        <v>1058279.54</v>
      </c>
      <c r="V6">
        <v>1079936.56</v>
      </c>
      <c r="W6">
        <v>1178290.73</v>
      </c>
      <c r="X6">
        <v>1080745.72</v>
      </c>
      <c r="Y6">
        <v>1142791.2</v>
      </c>
    </row>
    <row r="7" spans="1:25" x14ac:dyDescent="0.45">
      <c r="A7" s="7" t="s">
        <v>73</v>
      </c>
      <c r="B7">
        <v>-476981.11999999988</v>
      </c>
      <c r="C7">
        <v>-445309.75000000012</v>
      </c>
      <c r="D7">
        <v>-379351.9500000003</v>
      </c>
      <c r="E7">
        <v>-436068.7</v>
      </c>
      <c r="F7">
        <v>-412390.16</v>
      </c>
      <c r="G7">
        <v>-422737.67999999988</v>
      </c>
      <c r="H7">
        <v>-394153.96</v>
      </c>
      <c r="I7">
        <v>-394606.00999999989</v>
      </c>
      <c r="J7">
        <v>-377601.33999999991</v>
      </c>
      <c r="K7">
        <v>-378140.35</v>
      </c>
      <c r="L7">
        <v>-317527.5399999998</v>
      </c>
      <c r="M7">
        <v>-304262.75</v>
      </c>
      <c r="N7">
        <v>-423239.89999999979</v>
      </c>
      <c r="O7">
        <v>-391686.24000000011</v>
      </c>
      <c r="P7">
        <v>-320172.30000000022</v>
      </c>
      <c r="Q7">
        <v>-386676.78</v>
      </c>
      <c r="R7">
        <v>-200253.5399999998</v>
      </c>
      <c r="S7">
        <v>-206253.43000000011</v>
      </c>
      <c r="T7">
        <v>-161615.6</v>
      </c>
      <c r="U7">
        <v>-271106.54000000021</v>
      </c>
      <c r="V7">
        <v>-207182.05</v>
      </c>
      <c r="W7">
        <v>-353072.33</v>
      </c>
      <c r="X7">
        <v>-69354.629999999888</v>
      </c>
      <c r="Y7">
        <v>-123529.3600000002</v>
      </c>
    </row>
    <row r="8" spans="1:25" x14ac:dyDescent="0.45">
      <c r="A8" s="7" t="s">
        <v>74</v>
      </c>
      <c r="B8">
        <v>-51.689757369945298</v>
      </c>
      <c r="C8">
        <v>-45.175452523241837</v>
      </c>
      <c r="D8">
        <v>-35.564724991728362</v>
      </c>
      <c r="E8">
        <v>-40.565446068256811</v>
      </c>
      <c r="F8">
        <v>-39.092006018227117</v>
      </c>
      <c r="G8">
        <v>-36.60034646451777</v>
      </c>
      <c r="H8">
        <v>-33.774771690964023</v>
      </c>
      <c r="I8">
        <v>-33.29033383309973</v>
      </c>
      <c r="J8">
        <v>-31.950097576910139</v>
      </c>
      <c r="K8">
        <v>-31.1166499951281</v>
      </c>
      <c r="L8">
        <v>-23.65864121409399</v>
      </c>
      <c r="M8">
        <v>-20.490555879323821</v>
      </c>
      <c r="N8">
        <v>-35.227341044180932</v>
      </c>
      <c r="O8">
        <v>-33.673428569353007</v>
      </c>
      <c r="P8">
        <v>-25.04821494435696</v>
      </c>
      <c r="Q8">
        <v>-29.675923826423439</v>
      </c>
      <c r="R8">
        <v>-14.92241320627733</v>
      </c>
      <c r="S8">
        <v>-13.76026237478511</v>
      </c>
      <c r="T8">
        <v>-10.66193231086476</v>
      </c>
      <c r="U8">
        <v>-19.098443210099092</v>
      </c>
      <c r="V8">
        <v>-13.936164067293079</v>
      </c>
      <c r="W8">
        <v>-24.253880390889439</v>
      </c>
      <c r="X8">
        <v>-4.0075345865861127</v>
      </c>
      <c r="Y8">
        <v>-6.9565473207997366</v>
      </c>
    </row>
  </sheetData>
  <autoFilter ref="A1:Y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 Statement</vt:lpstr>
      <vt:lpstr>Variance Analysis</vt:lpstr>
      <vt:lpstr>Key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Hetal Shah</cp:lastModifiedBy>
  <dcterms:created xsi:type="dcterms:W3CDTF">2026-02-24T20:44:38Z</dcterms:created>
  <dcterms:modified xsi:type="dcterms:W3CDTF">2026-02-24T22:20:10Z</dcterms:modified>
</cp:coreProperties>
</file>